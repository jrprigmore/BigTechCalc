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Scenarios" sheetId="2" state="visible" r:id="rId4"/>
    <sheet name="Offer_1" sheetId="3" state="visible" r:id="rId5"/>
    <sheet name="Offer_2" sheetId="4" state="visible" r:id="rId6"/>
    <sheet name="Offer_3" sheetId="5" state="visible" r:id="rId7"/>
    <sheet name="Current_Comp" sheetId="6" state="visible" r:id="rId8"/>
    <sheet name="Comparison" sheetId="7" state="visible" r:id="rId9"/>
    <sheet name="Validation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<sst xmlns="http://schemas.openxmlformats.org/spreadsheetml/2006/main" count="711" uniqueCount="186">
  <si>
    <t xml:space="preserve">10-YEAR COMPENSATION COMPARISON — CORRECTED MODEL</t>
  </si>
  <si>
    <t xml:space="preserve">Rebuilt from 10_year_Comp_Comparison_Calc.xlsx, tab "CompOffer Comparison".</t>
  </si>
  <si>
    <t xml:space="preserve">HOW TO USE</t>
  </si>
  <si>
    <t xml:space="preserve">1. Scenarios tab: set the three growth scenarios. Every lever is editable.</t>
  </si>
  <si>
    <t xml:space="preserve">2. Offer_1 / Offer_2 / Offer_3 / Current_Comp tabs: fill the blue input cells in rows 4-21.</t>
  </si>
  <si>
    <t xml:space="preserve">3. Set the vesting schedules in rows 26-27. Each row must total 100% or the check cell reads ERROR.</t>
  </si>
  <si>
    <t xml:space="preserve">4. Read results on the Comparison tab. Nothing on that tab is an input.</t>
  </si>
  <si>
    <t xml:space="preserve">COLOR LEGEND</t>
  </si>
  <si>
    <t xml:space="preserve">Blue text = hardcoded input, edit these.</t>
  </si>
  <si>
    <t xml:space="preserve">Black text = formula, do not edit.</t>
  </si>
  <si>
    <t xml:space="preserve">Green text = link to another tab.</t>
  </si>
  <si>
    <t xml:space="preserve">Yellow fill = key assumption.</t>
  </si>
  <si>
    <t xml:space="preserve">WHAT WAS WRONG IN THE ORIGINAL, AND WHAT CHANGED</t>
  </si>
  <si>
    <t xml:space="preserve">1. NO SHARE PRICE APPRECIATION. Grants were dollar-denominated and vested at grant-date dollar value, so a</t>
  </si>
  <si>
    <t xml:space="preserve">   $400,000 grant paid exactly $400,000 regardless of the stock. The 3% on the refresher row was grant-SIZE</t>
  </si>
  <si>
    <t xml:space="preserve">   inflation, not price appreciation. FIXED: grant dollars convert to shares at the grant-date price, and each</t>
  </si>
  <si>
    <t xml:space="preserve">   vesting tranche is valued at the projected price on its vest year.</t>
  </si>
  <si>
    <t xml:space="preserve">2. DIVISOR BUGS in the hand-typed rolling refresher sums. Block 2 switched from /4 to /5 mid-row (F21 vs G21).</t>
  </si>
  <si>
    <t xml:space="preserve">   Block 3 cell G34 summed five tranches while still dividing by 4, overstating that year by 25%. FIXED: the</t>
  </si>
  <si>
    <t xml:space="preserve">   rolling sums are replaced by a grant ledger with one row per grant. Overlap falls out of the structure.</t>
  </si>
  <si>
    <t xml:space="preserve">3. INCONSISTENT BONUS TIMING. Block 1 paid on current-year salary (D9=D3*B13); Blocks 2 and 3 paid on prior-year</t>
  </si>
  <si>
    <t xml:space="preserve">   salary (G22=F16*B26). FIXED: a single "Bonus basis" input per offer, set the same way across offers.</t>
  </si>
  <si>
    <t xml:space="preserve">4. BROKEN COMPARISON. Row 42 used =MAX(...)-LARGE(B11:B37,2), and that range contains component rows (salary,</t>
  </si>
  <si>
    <t xml:space="preserve">   refresher size, sign-on), not just the three totals. FIXED: crossover analysis on the Comparison tab.</t>
  </si>
  <si>
    <t xml:space="preserve">5. HARDCODED RATES. Growth and vest percentages were buried in formulas (*1.03, *0.4). FIXED: all are inputs.</t>
  </si>
  <si>
    <t xml:space="preserve">6. NO BONUS MULTIPLIER. Bonus was always assumed paid at 100% of target. FIXED: scenario multiplier.</t>
  </si>
  <si>
    <t xml:space="preserve">7. Offers started in different calendar years, so column-aligned totals compared a working year against a zero</t>
  </si>
  <si>
    <t xml:space="preserve">   year. FIXED: crossover is reported in tenure years, and each offer has its own start year input.</t>
  </si>
  <si>
    <t xml:space="preserve">VALIDATION FIXTURE CARRIED OVER FROM THE ORIGINAL</t>
  </si>
  <si>
    <t xml:space="preserve">Refresher $150,000 first granted in year 2, 3%/yr grant growth, even 4-year vest, 0% appreciation:</t>
  </si>
  <si>
    <t xml:space="preserve">year-4 refresher vesting = $156,886.01. This ties to cell G8 of the original workbook and was recomputed</t>
  </si>
  <si>
    <t xml:space="preserve">independently. Use it as the regression test for the engine.</t>
  </si>
  <si>
    <t xml:space="preserve">LIMITATIONS OF THIS WORKBOOK</t>
  </si>
  <si>
    <t xml:space="preserve">- Annual vesting granularity only. Quarterly/monthly vesting and cliffs belong in the web app.</t>
  </si>
  <si>
    <t xml:space="preserve">- Constant-CAGR price path. No volatility, no Monte Carlo.</t>
  </si>
  <si>
    <t xml:space="preserve">- All figures are GROSS. No tax calculation. RSUs are ordinary income at vest, at the vest-date price.</t>
  </si>
  <si>
    <t xml:space="preserve">- No market data. Share prices and trailing performance are typed in by hand.</t>
  </si>
  <si>
    <t xml:space="preserve">- 12 refresher grant slots and a 15-year horizon.</t>
  </si>
  <si>
    <t xml:space="preserve">- This is a modeling tool, not financial advice.</t>
  </si>
  <si>
    <t xml:space="preserve">SOURCE OF NUMBERS</t>
  </si>
  <si>
    <t xml:space="preserve">Every value in this workbook is either a user-entered assumption or a formula on those assumptions.</t>
  </si>
  <si>
    <t xml:space="preserve">The seeded example values in Offer_1 are the Google block from the original workbook.</t>
  </si>
  <si>
    <t xml:space="preserve">GROWTH SCENARIOS</t>
  </si>
  <si>
    <t xml:space="preserve">Blue cells are inputs. Every lever below is user-editable.</t>
  </si>
  <si>
    <t xml:space="preserve">Lever</t>
  </si>
  <si>
    <t xml:space="preserve">Conservative</t>
  </si>
  <si>
    <t xml:space="preserve">Medium</t>
  </si>
  <si>
    <t xml:space="preserve">Aggressive</t>
  </si>
  <si>
    <t xml:space="preserve">Share price appreciation %/yr</t>
  </si>
  <si>
    <t xml:space="preserve">Medium 7%/yr is a long-run broad-market nominal assumption, NOT a forecast for any specific ticker.</t>
  </si>
  <si>
    <t xml:space="preserve">Merit increase factor (x offer input)</t>
  </si>
  <si>
    <t xml:space="preserve">Aggressive 15%/yr is a placeholder. Replace with the ticker trailing 5-yr CAGR entered below, and cap it.</t>
  </si>
  <si>
    <t xml:space="preserve">Bonus performance multiplier</t>
  </si>
  <si>
    <t xml:space="preserve">Applied to each offer tab merit % input. Conservative halves it; aggressive adds 50%.</t>
  </si>
  <si>
    <t xml:space="preserve">Refresher grant growth factor (x offer input)</t>
  </si>
  <si>
    <t xml:space="preserve">Applied to bonus target %. Models below-target / at-target / above-target payout.</t>
  </si>
  <si>
    <t xml:space="preserve">Number of refresher grant years</t>
  </si>
  <si>
    <t xml:space="preserve">Set to 0 in Conservative so refresher grant SIZE does not grow.</t>
  </si>
  <si>
    <t xml:space="preserve">Conservative assumes refreshers stop after 4 years. Medium/Aggressive run the full horizon.</t>
  </si>
  <si>
    <t xml:space="preserve">TICKER CONTEXT (manual entry — context only, not an input to the model)</t>
  </si>
  <si>
    <t xml:space="preserve">Trailing 1-year total return</t>
  </si>
  <si>
    <t xml:space="preserve">Past performance does not indicate future results. These cells feed nothing; they exist so the</t>
  </si>
  <si>
    <t xml:space="preserve">Trailing 5-year CAGR</t>
  </si>
  <si>
    <t xml:space="preserve">appreciation assumption above can be set with the trailing figures visible next to it.</t>
  </si>
  <si>
    <t xml:space="preserve">As-of date</t>
  </si>
  <si>
    <t xml:space="preserve">Suggested cap on aggressive appreciation</t>
  </si>
  <si>
    <t xml:space="preserve">Source of all values on this tab: user-entered assumptions. No market data is embedded in this workbook.</t>
  </si>
  <si>
    <t xml:space="preserve">OFFER 1</t>
  </si>
  <si>
    <t xml:space="preserve">Blue = you edit.  Black = formula, do not edit.  Green = link to another tab.  Yellow = key assumption.</t>
  </si>
  <si>
    <t xml:space="preserve">INPUTS</t>
  </si>
  <si>
    <t xml:space="preserve">Company name</t>
  </si>
  <si>
    <t xml:space="preserve">Company A</t>
  </si>
  <si>
    <t xml:space="preserve">Ticker</t>
  </si>
  <si>
    <t xml:space="preserve">TICKA</t>
  </si>
  <si>
    <t xml:space="preserve">Start calendar year</t>
  </si>
  <si>
    <t xml:space="preserve">Base salary at start</t>
  </si>
  <si>
    <t xml:space="preserve">Merit increase %/yr</t>
  </si>
  <si>
    <t xml:space="preserve">Bonus target % of base</t>
  </si>
  <si>
    <t xml:space="preserve">Bonus basis (Current or Prior)</t>
  </si>
  <si>
    <t xml:space="preserve">Current</t>
  </si>
  <si>
    <t xml:space="preserve">Bonus paid in Year 1? (Yes/No)</t>
  </si>
  <si>
    <t xml:space="preserve">No</t>
  </si>
  <si>
    <t xml:space="preserve">Sign-on total</t>
  </si>
  <si>
    <t xml:space="preserve">Sign-on % paid Year 1</t>
  </si>
  <si>
    <t xml:space="preserve">Sign-on % paid Year 2</t>
  </si>
  <si>
    <t xml:space="preserve">Sign-on % paid Year 3</t>
  </si>
  <si>
    <t xml:space="preserve">Sign-on check (must equal 100%)</t>
  </si>
  <si>
    <t xml:space="preserve">Grant-date share price</t>
  </si>
  <si>
    <t xml:space="preserve">Initial grant value ($)</t>
  </si>
  <si>
    <t xml:space="preserve">Refresher value, first grant ($)</t>
  </si>
  <si>
    <t xml:space="preserve">First refresher calendar year</t>
  </si>
  <si>
    <t xml:space="preserve">Refresher grant growth %/yr</t>
  </si>
  <si>
    <t xml:space="preserve">First vest timing (0 = grant year, 1 = year after)</t>
  </si>
  <si>
    <t xml:space="preserve">Share price is entered manually. Replace with a market data lookup in the web app. The original workbook vested in the grant year itself (offset 0); real grants usually vest a year later (offset 1).</t>
  </si>
  <si>
    <t xml:space="preserve">VESTING SCHEDULES — % of the grant that vests in each year AFTER the grant date</t>
  </si>
  <si>
    <t xml:space="preserve">Years after grant</t>
  </si>
  <si>
    <t xml:space="preserve">Total</t>
  </si>
  <si>
    <t xml:space="preserve">Initial grant</t>
  </si>
  <si>
    <t xml:space="preserve">Refresher grants</t>
  </si>
  <si>
    <t xml:space="preserve">Annual granularity. Sub-annual (quarterly/monthly) vesting and cliffs are handled in the web app, not here.</t>
  </si>
  <si>
    <t xml:space="preserve">SCENARIO: CONSERVATIVE</t>
  </si>
  <si>
    <t xml:space="preserve">Year index</t>
  </si>
  <si>
    <t xml:space="preserve">Calendar year</t>
  </si>
  <si>
    <t xml:space="preserve">Share price ($)</t>
  </si>
  <si>
    <t xml:space="preserve">Base salary</t>
  </si>
  <si>
    <t xml:space="preserve">Bonus basis salary</t>
  </si>
  <si>
    <t xml:space="preserve">Annual bonus</t>
  </si>
  <si>
    <t xml:space="preserve">Sign-on paid</t>
  </si>
  <si>
    <t xml:space="preserve">GRANT LEDGER — dollar value vesting each year, one row per grant</t>
  </si>
  <si>
    <t xml:space="preserve">Grant year</t>
  </si>
  <si>
    <t xml:space="preserve">Grant value ($)</t>
  </si>
  <si>
    <t xml:space="preserve">Shares granted</t>
  </si>
  <si>
    <t xml:space="preserve">Shares vested in horizon</t>
  </si>
  <si>
    <t xml:space="preserve">Unvested shares</t>
  </si>
  <si>
    <t xml:space="preserve">Refresher grant 1</t>
  </si>
  <si>
    <t xml:space="preserve">Refresher grant 2</t>
  </si>
  <si>
    <t xml:space="preserve">Refresher grant 3</t>
  </si>
  <si>
    <t xml:space="preserve">Refresher grant 4</t>
  </si>
  <si>
    <t xml:space="preserve">Refresher grant 5</t>
  </si>
  <si>
    <t xml:space="preserve">Refresher grant 6</t>
  </si>
  <si>
    <t xml:space="preserve">Refresher grant 7</t>
  </si>
  <si>
    <t xml:space="preserve">Refresher grant 8</t>
  </si>
  <si>
    <t xml:space="preserve">Refresher grant 9</t>
  </si>
  <si>
    <t xml:space="preserve">Refresher grant 10</t>
  </si>
  <si>
    <t xml:space="preserve">Refresher grant 11</t>
  </si>
  <si>
    <t xml:space="preserve">Refresher grant 12</t>
  </si>
  <si>
    <t xml:space="preserve">Initial grant vest ($)</t>
  </si>
  <si>
    <t xml:space="preserve">Refresher vest ($)</t>
  </si>
  <si>
    <t xml:space="preserve">Total equity vest ($)</t>
  </si>
  <si>
    <t xml:space="preserve">Concurrent grants vesting (count)</t>
  </si>
  <si>
    <t xml:space="preserve">TOTAL GROSS COMPENSATION</t>
  </si>
  <si>
    <t xml:space="preserve">Cumulative gross</t>
  </si>
  <si>
    <t xml:space="preserve">Unvested shares at end of horizon</t>
  </si>
  <si>
    <t xml:space="preserve">Unvested equity value at horizon price</t>
  </si>
  <si>
    <t xml:space="preserve">SCENARIO: MEDIUM</t>
  </si>
  <si>
    <t xml:space="preserve">SCENARIO: AGGRESSIVE</t>
  </si>
  <si>
    <t xml:space="preserve">SCENARIO SUMMARY</t>
  </si>
  <si>
    <t xml:space="preserve">Total gross — Conservative</t>
  </si>
  <si>
    <t xml:space="preserve">Total gross — Medium</t>
  </si>
  <si>
    <t xml:space="preserve">Total gross — Aggressive</t>
  </si>
  <si>
    <t xml:space="preserve">Cumulative — Conservative</t>
  </si>
  <si>
    <t xml:space="preserve">Cumulative — Medium</t>
  </si>
  <si>
    <t xml:space="preserve">Cumulative — Aggressive</t>
  </si>
  <si>
    <t xml:space="preserve">OFFER 2</t>
  </si>
  <si>
    <t xml:space="preserve">Company B</t>
  </si>
  <si>
    <t xml:space="preserve">TICKB</t>
  </si>
  <si>
    <t xml:space="preserve">OFFER 3</t>
  </si>
  <si>
    <t xml:space="preserve">Company C</t>
  </si>
  <si>
    <t xml:space="preserve">TICKC</t>
  </si>
  <si>
    <t xml:space="preserve">CURRENT COMPENSATION (BASELINE)</t>
  </si>
  <si>
    <t xml:space="preserve">Current employer</t>
  </si>
  <si>
    <t xml:space="preserve">n/a</t>
  </si>
  <si>
    <t xml:space="preserve">Yes</t>
  </si>
  <si>
    <t xml:space="preserve">OFFER COMPARISON</t>
  </si>
  <si>
    <t xml:space="preserve">Every figure on this tab is a link to an offer tab. Nothing here is an input.</t>
  </si>
  <si>
    <t xml:space="preserve">CUMULATIVE GROSS COMPENSATION BY SCENARIO</t>
  </si>
  <si>
    <t xml:space="preserve">Year 1</t>
  </si>
  <si>
    <t xml:space="preserve">Year 3</t>
  </si>
  <si>
    <t xml:space="preserve">Year 5</t>
  </si>
  <si>
    <t xml:space="preserve">Year 10</t>
  </si>
  <si>
    <t xml:space="preserve">MEDIUM SCENARIO — YEAR BY YEAR</t>
  </si>
  <si>
    <t xml:space="preserve">Total gross compensation</t>
  </si>
  <si>
    <t xml:space="preserve">Cumulative gross compensation</t>
  </si>
  <si>
    <t xml:space="preserve">Highest cumulative to date</t>
  </si>
  <si>
    <t xml:space="preserve">CROSSOVER vs. baseline</t>
  </si>
  <si>
    <t xml:space="preserve">First year cumulative gross exceeds Current_Comp</t>
  </si>
  <si>
    <t xml:space="preserve">Helper (year index if ahead, else 9999)</t>
  </si>
  <si>
    <t xml:space="preserve">Crossover year (tenure year)</t>
  </si>
  <si>
    <t xml:space="preserve">Replaces the broken row 42 logic in the original workbook, which took LARGE() over a range containing component rows.</t>
  </si>
  <si>
    <t xml:space="preserve">ENGINE VALIDATION vs. THE ORIGINAL WORKBOOK</t>
  </si>
  <si>
    <t xml:space="preserve">Reproduces row 8 of the original "CompOffer Comparison" tab, which was the one refresher row that was free of divisor bugs.</t>
  </si>
  <si>
    <t xml:space="preserve">If the CHECK row reads TIE across the board, this tranche engine matches the original where the original was correct.</t>
  </si>
  <si>
    <t xml:space="preserve">Reference case inputs</t>
  </si>
  <si>
    <t xml:space="preserve">First refresher grant value ($)</t>
  </si>
  <si>
    <t xml:space="preserve">Share price (flat — 0% appreciation)</t>
  </si>
  <si>
    <t xml:space="preserve">First refresher grant year</t>
  </si>
  <si>
    <t xml:space="preserve">Vesting: 25% in each of years 1-4 after grant</t>
  </si>
  <si>
    <t xml:space="preserve">Grant ledger</t>
  </si>
  <si>
    <t xml:space="preserve">Shares</t>
  </si>
  <si>
    <t xml:space="preserve">Refresher vest — THIS ENGINE</t>
  </si>
  <si>
    <t xml:space="preserve">Refresher vest — ORIGINAL WORKBOOK row 8</t>
  </si>
  <si>
    <t xml:space="preserve">Difference</t>
  </si>
  <si>
    <t xml:space="preserve">CHECK</t>
  </si>
  <si>
    <t xml:space="preserve">Original values are cells D8:L8 of "CompOffer Comparison" in 10_year_Comp_Comparison_Calc.xlsx, rounded to the cent.</t>
  </si>
  <si>
    <t xml:space="preserve">The original vests 25% in the grant year itself. This tab sets the first grant to 2021 so its year-1 vest lands in 2022 and the two series align.</t>
  </si>
  <si>
    <t xml:space="preserve">That timing convention is an input on each offer tab (row 22), because a real new-hire grant normally has its first vest a year after the grant date.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</si>
</sst>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%"/>
    <numFmt numFmtId="166" formatCode="0.00"/>
    <numFmt numFmtId="167" formatCode="0"/>
    <numFmt numFmtId="168" formatCode="\$#,##0;&quot;($&quot;#,##0\);\-"/>
    <numFmt numFmtId="169" formatCode="\$#,##0.00;&quot;($&quot;#,##0.00\);\-"/>
    <numFmt numFmtId="170" formatCode="#,##0.00;\(#,##0.00\);\-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D9D9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5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18"/>
  </cols>
  <sheetData>
    <row r="2" customFormat="false" ht="17.3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/>
    </row>
    <row r="4" customFormat="false" ht="15" hidden="false" customHeight="false" outlineLevel="0" collapsed="false">
      <c r="B4" s="2" t="s">
        <v>1</v>
      </c>
    </row>
    <row r="5" customFormat="false" ht="15" hidden="false" customHeight="false" outlineLevel="0" collapsed="false">
      <c r="B5" s="2"/>
    </row>
    <row r="6" customFormat="false" ht="15" hidden="false" customHeight="false" outlineLevel="0" collapsed="false">
      <c r="B6" s="3" t="s">
        <v>2</v>
      </c>
    </row>
    <row r="7" customFormat="false" ht="15" hidden="false" customHeight="false" outlineLevel="0" collapsed="false">
      <c r="B7" s="2" t="s">
        <v>3</v>
      </c>
    </row>
    <row r="8" customFormat="false" ht="15" hidden="false" customHeight="false" outlineLevel="0" collapsed="false">
      <c r="B8" s="2" t="s">
        <v>4</v>
      </c>
    </row>
    <row r="9" customFormat="false" ht="15" hidden="false" customHeight="false" outlineLevel="0" collapsed="false">
      <c r="B9" s="2" t="s">
        <v>5</v>
      </c>
    </row>
    <row r="10" customFormat="false" ht="15" hidden="false" customHeight="false" outlineLevel="0" collapsed="false">
      <c r="B10" s="2" t="s">
        <v>6</v>
      </c>
    </row>
    <row r="11" customFormat="false" ht="15" hidden="false" customHeight="false" outlineLevel="0" collapsed="false">
      <c r="B11" s="2"/>
    </row>
    <row r="12" customFormat="false" ht="15" hidden="false" customHeight="false" outlineLevel="0" collapsed="false">
      <c r="B12" s="3" t="s">
        <v>7</v>
      </c>
    </row>
    <row r="13" customFormat="false" ht="15" hidden="false" customHeight="false" outlineLevel="0" collapsed="false">
      <c r="B13" s="4" t="s">
        <v>8</v>
      </c>
    </row>
    <row r="14" customFormat="false" ht="15" hidden="false" customHeight="false" outlineLevel="0" collapsed="false">
      <c r="B14" s="2" t="s">
        <v>9</v>
      </c>
    </row>
    <row r="15" customFormat="false" ht="15" hidden="false" customHeight="false" outlineLevel="0" collapsed="false">
      <c r="B15" s="5" t="s">
        <v>10</v>
      </c>
    </row>
    <row r="16" customFormat="false" ht="15" hidden="false" customHeight="false" outlineLevel="0" collapsed="false">
      <c r="B16" s="2" t="s">
        <v>11</v>
      </c>
    </row>
    <row r="17" customFormat="false" ht="15" hidden="false" customHeight="false" outlineLevel="0" collapsed="false">
      <c r="B17" s="2"/>
    </row>
    <row r="18" customFormat="false" ht="15" hidden="false" customHeight="false" outlineLevel="0" collapsed="false">
      <c r="B18" s="3" t="s">
        <v>12</v>
      </c>
    </row>
    <row r="19" customFormat="false" ht="15" hidden="false" customHeight="false" outlineLevel="0" collapsed="false">
      <c r="B19" s="2" t="s">
        <v>13</v>
      </c>
    </row>
    <row r="20" customFormat="false" ht="15" hidden="false" customHeight="false" outlineLevel="0" collapsed="false">
      <c r="B20" s="2" t="s">
        <v>14</v>
      </c>
    </row>
    <row r="21" customFormat="false" ht="15" hidden="false" customHeight="false" outlineLevel="0" collapsed="false">
      <c r="B21" s="2" t="s">
        <v>15</v>
      </c>
    </row>
    <row r="22" customFormat="false" ht="15" hidden="false" customHeight="false" outlineLevel="0" collapsed="false">
      <c r="B22" s="2" t="s">
        <v>16</v>
      </c>
    </row>
    <row r="23" customFormat="false" ht="15" hidden="false" customHeight="false" outlineLevel="0" collapsed="false">
      <c r="B23" s="2" t="s">
        <v>17</v>
      </c>
    </row>
    <row r="24" customFormat="false" ht="15" hidden="false" customHeight="false" outlineLevel="0" collapsed="false">
      <c r="B24" s="2" t="s">
        <v>18</v>
      </c>
    </row>
    <row r="25" customFormat="false" ht="15" hidden="false" customHeight="false" outlineLevel="0" collapsed="false">
      <c r="B25" s="2" t="s">
        <v>19</v>
      </c>
    </row>
    <row r="26" customFormat="false" ht="15" hidden="false" customHeight="false" outlineLevel="0" collapsed="false">
      <c r="B26" s="2" t="s">
        <v>20</v>
      </c>
    </row>
    <row r="27" customFormat="false" ht="15" hidden="false" customHeight="false" outlineLevel="0" collapsed="false">
      <c r="B27" s="2" t="s">
        <v>21</v>
      </c>
    </row>
    <row r="28" customFormat="false" ht="15" hidden="false" customHeight="false" outlineLevel="0" collapsed="false">
      <c r="B28" s="2" t="s">
        <v>22</v>
      </c>
    </row>
    <row r="29" customFormat="false" ht="15" hidden="false" customHeight="false" outlineLevel="0" collapsed="false">
      <c r="B29" s="2" t="s">
        <v>23</v>
      </c>
    </row>
    <row r="30" customFormat="false" ht="15" hidden="false" customHeight="false" outlineLevel="0" collapsed="false">
      <c r="B30" s="2" t="s">
        <v>24</v>
      </c>
    </row>
    <row r="31" customFormat="false" ht="15" hidden="false" customHeight="false" outlineLevel="0" collapsed="false">
      <c r="B31" s="2" t="s">
        <v>25</v>
      </c>
    </row>
    <row r="32" customFormat="false" ht="15" hidden="false" customHeight="false" outlineLevel="0" collapsed="false">
      <c r="B32" s="2" t="s">
        <v>26</v>
      </c>
    </row>
    <row r="33" customFormat="false" ht="15" hidden="false" customHeight="false" outlineLevel="0" collapsed="false">
      <c r="B33" s="2" t="s">
        <v>27</v>
      </c>
    </row>
    <row r="34" customFormat="false" ht="15" hidden="false" customHeight="false" outlineLevel="0" collapsed="false">
      <c r="B34" s="2"/>
    </row>
    <row r="35" customFormat="false" ht="15" hidden="false" customHeight="false" outlineLevel="0" collapsed="false">
      <c r="B35" s="3" t="s">
        <v>28</v>
      </c>
    </row>
    <row r="36" customFormat="false" ht="15" hidden="false" customHeight="false" outlineLevel="0" collapsed="false">
      <c r="B36" s="2" t="s">
        <v>29</v>
      </c>
    </row>
    <row r="37" customFormat="false" ht="15" hidden="false" customHeight="false" outlineLevel="0" collapsed="false">
      <c r="B37" s="2" t="s">
        <v>30</v>
      </c>
    </row>
    <row r="38" customFormat="false" ht="15" hidden="false" customHeight="false" outlineLevel="0" collapsed="false">
      <c r="B38" s="2" t="s">
        <v>31</v>
      </c>
    </row>
    <row r="39" customFormat="false" ht="15" hidden="false" customHeight="false" outlineLevel="0" collapsed="false">
      <c r="B39" s="2"/>
    </row>
    <row r="40" customFormat="false" ht="15" hidden="false" customHeight="false" outlineLevel="0" collapsed="false">
      <c r="B40" s="3" t="s">
        <v>32</v>
      </c>
    </row>
    <row r="41" customFormat="false" ht="15" hidden="false" customHeight="false" outlineLevel="0" collapsed="false">
      <c r="B41" s="2" t="s">
        <v>33</v>
      </c>
    </row>
    <row r="42" customFormat="false" ht="15" hidden="false" customHeight="false" outlineLevel="0" collapsed="false">
      <c r="B42" s="2" t="s">
        <v>34</v>
      </c>
    </row>
    <row r="43" customFormat="false" ht="15" hidden="false" customHeight="false" outlineLevel="0" collapsed="false">
      <c r="B43" s="2" t="s">
        <v>35</v>
      </c>
    </row>
    <row r="44" customFormat="false" ht="15" hidden="false" customHeight="false" outlineLevel="0" collapsed="false">
      <c r="B44" s="2" t="s">
        <v>36</v>
      </c>
    </row>
    <row r="45" customFormat="false" ht="15" hidden="false" customHeight="false" outlineLevel="0" collapsed="false">
      <c r="B45" s="2" t="s">
        <v>37</v>
      </c>
    </row>
    <row r="46" customFormat="false" ht="15" hidden="false" customHeight="false" outlineLevel="0" collapsed="false">
      <c r="B46" s="2" t="s">
        <v>38</v>
      </c>
    </row>
    <row r="47" customFormat="false" ht="15" hidden="false" customHeight="false" outlineLevel="0" collapsed="false">
      <c r="B47" s="2"/>
    </row>
    <row r="48" customFormat="false" ht="15" hidden="false" customHeight="false" outlineLevel="0" collapsed="false">
      <c r="B48" s="3" t="s">
        <v>39</v>
      </c>
    </row>
    <row r="49" customFormat="false" ht="15" hidden="false" customHeight="false" outlineLevel="0" collapsed="false">
      <c r="B49" s="2" t="s">
        <v>40</v>
      </c>
    </row>
    <row r="50" customFormat="false" ht="15" hidden="false" customHeight="false" outlineLevel="0" collapsed="false">
      <c r="B50" s="2" t="s">
        <v>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5" min="2" style="0" width="16"/>
    <col collapsed="false" customWidth="true" hidden="false" outlineLevel="0" max="7" min="7" style="0" width="70"/>
  </cols>
  <sheetData>
    <row r="1" customFormat="false" ht="17.35" hidden="false" customHeight="false" outlineLevel="0" collapsed="false">
      <c r="A1" s="1" t="s">
        <v>42</v>
      </c>
    </row>
    <row r="2" customFormat="false" ht="15" hidden="false" customHeight="false" outlineLevel="0" collapsed="false">
      <c r="A2" s="6" t="s">
        <v>43</v>
      </c>
    </row>
    <row r="3" customFormat="false" ht="15" hidden="false" customHeight="false" outlineLevel="0" collapsed="false">
      <c r="A3" s="3" t="s">
        <v>44</v>
      </c>
      <c r="C3" s="7" t="s">
        <v>45</v>
      </c>
      <c r="D3" s="7" t="s">
        <v>46</v>
      </c>
      <c r="E3" s="7" t="s">
        <v>47</v>
      </c>
    </row>
    <row r="4" customFormat="false" ht="15" hidden="false" customHeight="false" outlineLevel="0" collapsed="false">
      <c r="A4" s="2" t="s">
        <v>48</v>
      </c>
      <c r="C4" s="8" t="n">
        <v>0</v>
      </c>
      <c r="D4" s="8" t="n">
        <v>0.07</v>
      </c>
      <c r="E4" s="8" t="n">
        <v>0.15</v>
      </c>
      <c r="G4" s="6" t="s">
        <v>49</v>
      </c>
    </row>
    <row r="5" customFormat="false" ht="15" hidden="false" customHeight="false" outlineLevel="0" collapsed="false">
      <c r="A5" s="2" t="s">
        <v>50</v>
      </c>
      <c r="C5" s="9" t="n">
        <v>0.5</v>
      </c>
      <c r="D5" s="9" t="n">
        <v>1</v>
      </c>
      <c r="E5" s="9" t="n">
        <v>1.5</v>
      </c>
      <c r="G5" s="6" t="s">
        <v>51</v>
      </c>
    </row>
    <row r="6" customFormat="false" ht="15" hidden="false" customHeight="false" outlineLevel="0" collapsed="false">
      <c r="A6" s="2" t="s">
        <v>52</v>
      </c>
      <c r="C6" s="9" t="n">
        <v>0.75</v>
      </c>
      <c r="D6" s="9" t="n">
        <v>1</v>
      </c>
      <c r="E6" s="9" t="n">
        <v>1.25</v>
      </c>
      <c r="G6" s="6" t="s">
        <v>53</v>
      </c>
    </row>
    <row r="7" customFormat="false" ht="15" hidden="false" customHeight="false" outlineLevel="0" collapsed="false">
      <c r="A7" s="2" t="s">
        <v>54</v>
      </c>
      <c r="C7" s="9" t="n">
        <v>0</v>
      </c>
      <c r="D7" s="9" t="n">
        <v>1</v>
      </c>
      <c r="E7" s="9" t="n">
        <v>1</v>
      </c>
      <c r="G7" s="6" t="s">
        <v>55</v>
      </c>
    </row>
    <row r="8" customFormat="false" ht="15" hidden="false" customHeight="false" outlineLevel="0" collapsed="false">
      <c r="A8" s="2" t="s">
        <v>56</v>
      </c>
      <c r="C8" s="10" t="n">
        <v>4</v>
      </c>
      <c r="D8" s="10" t="n">
        <v>12</v>
      </c>
      <c r="E8" s="10" t="n">
        <v>12</v>
      </c>
      <c r="G8" s="6" t="s">
        <v>57</v>
      </c>
    </row>
    <row r="9" customFormat="false" ht="15" hidden="false" customHeight="false" outlineLevel="0" collapsed="false">
      <c r="G9" s="6" t="s">
        <v>58</v>
      </c>
    </row>
    <row r="11" customFormat="false" ht="15" hidden="false" customHeight="false" outlineLevel="0" collapsed="false">
      <c r="A11" s="3" t="s">
        <v>59</v>
      </c>
    </row>
    <row r="12" customFormat="false" ht="15" hidden="false" customHeight="false" outlineLevel="0" collapsed="false">
      <c r="A12" s="2" t="s">
        <v>60</v>
      </c>
      <c r="C12" s="11"/>
      <c r="G12" s="6" t="s">
        <v>61</v>
      </c>
    </row>
    <row r="13" customFormat="false" ht="15" hidden="false" customHeight="false" outlineLevel="0" collapsed="false">
      <c r="A13" s="2" t="s">
        <v>62</v>
      </c>
      <c r="C13" s="11"/>
      <c r="G13" s="6" t="s">
        <v>63</v>
      </c>
    </row>
    <row r="14" customFormat="false" ht="15" hidden="false" customHeight="false" outlineLevel="0" collapsed="false">
      <c r="A14" s="2" t="s">
        <v>64</v>
      </c>
      <c r="C14" s="12"/>
    </row>
    <row r="15" customFormat="false" ht="15" hidden="false" customHeight="false" outlineLevel="0" collapsed="false">
      <c r="A15" s="2" t="s">
        <v>65</v>
      </c>
      <c r="C15" s="11" t="n">
        <v>0.2</v>
      </c>
    </row>
    <row r="17" customFormat="false" ht="15" hidden="false" customHeight="false" outlineLevel="0" collapsed="false">
      <c r="A17" s="6" t="s">
        <v>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5"/>
    <col collapsed="false" customWidth="true" hidden="false" outlineLevel="0" max="17" min="3" style="0" width="12"/>
    <col collapsed="false" customWidth="true" hidden="false" outlineLevel="0" max="18" min="18" style="0" width="2"/>
    <col collapsed="false" customWidth="true" hidden="false" outlineLevel="0" max="23" min="19" style="0" width="15"/>
  </cols>
  <sheetData>
    <row r="1" customFormat="false" ht="17.35" hidden="false" customHeight="false" outlineLevel="0" collapsed="false">
      <c r="A1" s="1" t="s">
        <v>67</v>
      </c>
    </row>
    <row r="2" customFormat="false" ht="15" hidden="false" customHeight="false" outlineLevel="0" collapsed="false">
      <c r="A2" s="6" t="s">
        <v>68</v>
      </c>
    </row>
    <row r="3" customFormat="false" ht="15" hidden="false" customHeight="false" outlineLevel="0" collapsed="false">
      <c r="A3" s="3" t="s">
        <v>69</v>
      </c>
    </row>
    <row r="4" customFormat="false" ht="15" hidden="false" customHeight="false" outlineLevel="0" collapsed="false">
      <c r="A4" s="2" t="s">
        <v>70</v>
      </c>
      <c r="B4" s="12" t="s">
        <v>71</v>
      </c>
    </row>
    <row r="5" customFormat="false" ht="15" hidden="false" customHeight="false" outlineLevel="0" collapsed="false">
      <c r="A5" s="2" t="s">
        <v>72</v>
      </c>
      <c r="B5" s="12" t="s">
        <v>73</v>
      </c>
    </row>
    <row r="6" customFormat="false" ht="15" hidden="false" customHeight="false" outlineLevel="0" collapsed="false">
      <c r="A6" s="2" t="s">
        <v>74</v>
      </c>
      <c r="B6" s="13" t="n">
        <v>2026</v>
      </c>
    </row>
    <row r="7" customFormat="false" ht="15" hidden="false" customHeight="false" outlineLevel="0" collapsed="false">
      <c r="A7" s="2" t="s">
        <v>75</v>
      </c>
      <c r="B7" s="14" t="n">
        <v>200000</v>
      </c>
    </row>
    <row r="8" customFormat="false" ht="15" hidden="false" customHeight="false" outlineLevel="0" collapsed="false">
      <c r="A8" s="2" t="s">
        <v>76</v>
      </c>
      <c r="B8" s="11" t="n">
        <v>0.03</v>
      </c>
    </row>
    <row r="9" customFormat="false" ht="15" hidden="false" customHeight="false" outlineLevel="0" collapsed="false">
      <c r="A9" s="2" t="s">
        <v>77</v>
      </c>
      <c r="B9" s="11" t="n">
        <v>0.22</v>
      </c>
    </row>
    <row r="10" customFormat="false" ht="15" hidden="false" customHeight="false" outlineLevel="0" collapsed="false">
      <c r="A10" s="2" t="s">
        <v>78</v>
      </c>
      <c r="B10" s="12" t="s">
        <v>79</v>
      </c>
    </row>
    <row r="11" customFormat="false" ht="15" hidden="false" customHeight="false" outlineLevel="0" collapsed="false">
      <c r="A11" s="2" t="s">
        <v>80</v>
      </c>
      <c r="B11" s="12" t="s">
        <v>81</v>
      </c>
    </row>
    <row r="12" customFormat="false" ht="15" hidden="false" customHeight="false" outlineLevel="0" collapsed="false">
      <c r="A12" s="2" t="s">
        <v>82</v>
      </c>
      <c r="B12" s="14" t="n">
        <v>100000</v>
      </c>
    </row>
    <row r="13" customFormat="false" ht="15" hidden="false" customHeight="false" outlineLevel="0" collapsed="false">
      <c r="A13" s="2" t="s">
        <v>83</v>
      </c>
      <c r="B13" s="11" t="n">
        <v>0.5</v>
      </c>
    </row>
    <row r="14" customFormat="false" ht="15" hidden="false" customHeight="false" outlineLevel="0" collapsed="false">
      <c r="A14" s="2" t="s">
        <v>84</v>
      </c>
      <c r="B14" s="11" t="n">
        <v>0.5</v>
      </c>
    </row>
    <row r="15" customFormat="false" ht="15" hidden="false" customHeight="false" outlineLevel="0" collapsed="false">
      <c r="A15" s="2" t="s">
        <v>85</v>
      </c>
      <c r="B15" s="11" t="n">
        <v>0</v>
      </c>
    </row>
    <row r="16" customFormat="false" ht="15" hidden="false" customHeight="false" outlineLevel="0" collapsed="false">
      <c r="A16" s="2" t="s">
        <v>86</v>
      </c>
      <c r="B16" s="15" t="n">
        <f aca="false">SUM(B13:B15)</f>
        <v>1</v>
      </c>
      <c r="C16" s="2" t="str">
        <f aca="false">IF(ROUND(B16,6)=1,"OK","ERROR - must total 100%")</f>
        <v>OK</v>
      </c>
    </row>
    <row r="17" customFormat="false" ht="15" hidden="false" customHeight="false" outlineLevel="0" collapsed="false">
      <c r="A17" s="2" t="s">
        <v>87</v>
      </c>
      <c r="B17" s="16" t="n">
        <v>150</v>
      </c>
    </row>
    <row r="18" customFormat="false" ht="15" hidden="false" customHeight="false" outlineLevel="0" collapsed="false">
      <c r="A18" s="2" t="s">
        <v>88</v>
      </c>
      <c r="B18" s="14" t="n">
        <v>400000</v>
      </c>
    </row>
    <row r="19" customFormat="false" ht="15" hidden="false" customHeight="false" outlineLevel="0" collapsed="false">
      <c r="A19" s="2" t="s">
        <v>89</v>
      </c>
      <c r="B19" s="14" t="n">
        <v>150000</v>
      </c>
    </row>
    <row r="20" customFormat="false" ht="15" hidden="false" customHeight="false" outlineLevel="0" collapsed="false">
      <c r="A20" s="2" t="s">
        <v>90</v>
      </c>
      <c r="B20" s="13" t="n">
        <v>2027</v>
      </c>
    </row>
    <row r="21" customFormat="false" ht="15" hidden="false" customHeight="false" outlineLevel="0" collapsed="false">
      <c r="A21" s="2" t="s">
        <v>91</v>
      </c>
      <c r="B21" s="11" t="n">
        <v>0.03</v>
      </c>
    </row>
    <row r="22" customFormat="false" ht="15" hidden="false" customHeight="false" outlineLevel="0" collapsed="false">
      <c r="A22" s="2" t="s">
        <v>92</v>
      </c>
      <c r="B22" s="13" t="n">
        <v>1</v>
      </c>
    </row>
    <row r="23" customFormat="false" ht="15" hidden="false" customHeight="false" outlineLevel="0" collapsed="false">
      <c r="A23" s="6" t="s">
        <v>93</v>
      </c>
    </row>
    <row r="24" customFormat="false" ht="15" hidden="false" customHeight="false" outlineLevel="0" collapsed="false">
      <c r="A24" s="3" t="s">
        <v>94</v>
      </c>
    </row>
    <row r="25" customFormat="false" ht="15" hidden="false" customHeight="false" outlineLevel="0" collapsed="false">
      <c r="A25" s="3" t="s">
        <v>95</v>
      </c>
      <c r="C25" s="17" t="n">
        <v>1</v>
      </c>
      <c r="D25" s="17" t="n">
        <v>2</v>
      </c>
      <c r="E25" s="17" t="n">
        <v>3</v>
      </c>
      <c r="F25" s="17" t="n">
        <v>4</v>
      </c>
      <c r="G25" s="17" t="n">
        <v>5</v>
      </c>
      <c r="H25" s="17" t="n">
        <v>6</v>
      </c>
      <c r="I25" s="17" t="n">
        <v>7</v>
      </c>
      <c r="J25" s="17" t="n">
        <v>8</v>
      </c>
      <c r="K25" s="7" t="s">
        <v>96</v>
      </c>
    </row>
    <row r="26" customFormat="false" ht="15" hidden="false" customHeight="false" outlineLevel="0" collapsed="false">
      <c r="A26" s="2" t="s">
        <v>97</v>
      </c>
      <c r="C26" s="8" t="n">
        <v>0.4</v>
      </c>
      <c r="D26" s="8" t="n">
        <v>0.28</v>
      </c>
      <c r="E26" s="8" t="n">
        <v>0.2</v>
      </c>
      <c r="F26" s="8" t="n">
        <v>0.12</v>
      </c>
      <c r="G26" s="8" t="n">
        <v>0</v>
      </c>
      <c r="H26" s="8" t="n">
        <v>0</v>
      </c>
      <c r="I26" s="8" t="n">
        <v>0</v>
      </c>
      <c r="J26" s="8" t="n">
        <v>0</v>
      </c>
      <c r="K26" s="15" t="n">
        <f aca="false">SUM(C26:J26)</f>
        <v>1</v>
      </c>
      <c r="L26" s="2" t="str">
        <f aca="false">IF(ROUND(K26,6)=1,"OK","ERROR - must total 100%")</f>
        <v>OK</v>
      </c>
    </row>
    <row r="27" customFormat="false" ht="15" hidden="false" customHeight="false" outlineLevel="0" collapsed="false">
      <c r="A27" s="2" t="s">
        <v>98</v>
      </c>
      <c r="C27" s="8" t="n">
        <v>0.25</v>
      </c>
      <c r="D27" s="8" t="n">
        <v>0.25</v>
      </c>
      <c r="E27" s="8" t="n">
        <v>0.25</v>
      </c>
      <c r="F27" s="8" t="n">
        <v>0.25</v>
      </c>
      <c r="G27" s="8" t="n">
        <v>0</v>
      </c>
      <c r="H27" s="8" t="n">
        <v>0</v>
      </c>
      <c r="I27" s="8" t="n">
        <v>0</v>
      </c>
      <c r="J27" s="8" t="n">
        <v>0</v>
      </c>
      <c r="K27" s="15" t="n">
        <f aca="false">SUM(C27:J27)</f>
        <v>1</v>
      </c>
      <c r="L27" s="2" t="str">
        <f aca="false">IF(ROUND(K27,6)=1,"OK","ERROR - must total 100%")</f>
        <v>OK</v>
      </c>
    </row>
    <row r="28" customFormat="false" ht="15" hidden="false" customHeight="false" outlineLevel="0" collapsed="false">
      <c r="A28" s="6" t="s">
        <v>99</v>
      </c>
    </row>
    <row r="31" customFormat="false" ht="15" hidden="false" customHeight="false" outlineLevel="0" collapsed="false">
      <c r="A31" s="18" t="s">
        <v>100</v>
      </c>
      <c r="B31" s="19" t="str">
        <f aca="false">Scenarios!C$3</f>
        <v>Conservative</v>
      </c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</row>
    <row r="32" customFormat="false" ht="15" hidden="false" customHeight="false" outlineLevel="0" collapsed="false">
      <c r="A32" s="3" t="s">
        <v>101</v>
      </c>
      <c r="C32" s="17" t="n">
        <v>1</v>
      </c>
      <c r="D32" s="17" t="n">
        <v>2</v>
      </c>
      <c r="E32" s="17" t="n">
        <v>3</v>
      </c>
      <c r="F32" s="17" t="n">
        <v>4</v>
      </c>
      <c r="G32" s="17" t="n">
        <v>5</v>
      </c>
      <c r="H32" s="17" t="n">
        <v>6</v>
      </c>
      <c r="I32" s="17" t="n">
        <v>7</v>
      </c>
      <c r="J32" s="17" t="n">
        <v>8</v>
      </c>
      <c r="K32" s="17" t="n">
        <v>9</v>
      </c>
      <c r="L32" s="17" t="n">
        <v>10</v>
      </c>
      <c r="M32" s="17" t="n">
        <v>11</v>
      </c>
      <c r="N32" s="17" t="n">
        <v>12</v>
      </c>
      <c r="O32" s="17" t="n">
        <v>13</v>
      </c>
      <c r="P32" s="17" t="n">
        <v>14</v>
      </c>
      <c r="Q32" s="17" t="n">
        <v>15</v>
      </c>
    </row>
    <row r="33" customFormat="false" ht="15" hidden="false" customHeight="false" outlineLevel="0" collapsed="false">
      <c r="A33" s="3" t="s">
        <v>102</v>
      </c>
      <c r="C33" s="17" t="n">
        <f aca="false">$B$6</f>
        <v>2026</v>
      </c>
      <c r="D33" s="17" t="n">
        <f aca="false">C33+1</f>
        <v>2027</v>
      </c>
      <c r="E33" s="17" t="n">
        <f aca="false">D33+1</f>
        <v>2028</v>
      </c>
      <c r="F33" s="17" t="n">
        <f aca="false">E33+1</f>
        <v>2029</v>
      </c>
      <c r="G33" s="17" t="n">
        <f aca="false">F33+1</f>
        <v>2030</v>
      </c>
      <c r="H33" s="17" t="n">
        <f aca="false">G33+1</f>
        <v>2031</v>
      </c>
      <c r="I33" s="17" t="n">
        <f aca="false">H33+1</f>
        <v>2032</v>
      </c>
      <c r="J33" s="17" t="n">
        <f aca="false">I33+1</f>
        <v>2033</v>
      </c>
      <c r="K33" s="17" t="n">
        <f aca="false">J33+1</f>
        <v>2034</v>
      </c>
      <c r="L33" s="17" t="n">
        <f aca="false">K33+1</f>
        <v>2035</v>
      </c>
      <c r="M33" s="17" t="n">
        <f aca="false">L33+1</f>
        <v>2036</v>
      </c>
      <c r="N33" s="17" t="n">
        <f aca="false">M33+1</f>
        <v>2037</v>
      </c>
      <c r="O33" s="17" t="n">
        <f aca="false">N33+1</f>
        <v>2038</v>
      </c>
      <c r="P33" s="17" t="n">
        <f aca="false">O33+1</f>
        <v>2039</v>
      </c>
      <c r="Q33" s="17" t="n">
        <f aca="false">P33+1</f>
        <v>2040</v>
      </c>
    </row>
    <row r="34" customFormat="false" ht="15" hidden="false" customHeight="false" outlineLevel="0" collapsed="false">
      <c r="A34" s="2" t="s">
        <v>103</v>
      </c>
      <c r="C34" s="21" t="n">
        <f aca="false">$B$17</f>
        <v>150</v>
      </c>
      <c r="D34" s="21" t="n">
        <f aca="false">C34*(1+Scenarios!$C$4)</f>
        <v>150</v>
      </c>
      <c r="E34" s="21" t="n">
        <f aca="false">D34*(1+Scenarios!$C$4)</f>
        <v>150</v>
      </c>
      <c r="F34" s="21" t="n">
        <f aca="false">E34*(1+Scenarios!$C$4)</f>
        <v>150</v>
      </c>
      <c r="G34" s="21" t="n">
        <f aca="false">F34*(1+Scenarios!$C$4)</f>
        <v>150</v>
      </c>
      <c r="H34" s="21" t="n">
        <f aca="false">G34*(1+Scenarios!$C$4)</f>
        <v>150</v>
      </c>
      <c r="I34" s="21" t="n">
        <f aca="false">H34*(1+Scenarios!$C$4)</f>
        <v>150</v>
      </c>
      <c r="J34" s="21" t="n">
        <f aca="false">I34*(1+Scenarios!$C$4)</f>
        <v>150</v>
      </c>
      <c r="K34" s="21" t="n">
        <f aca="false">J34*(1+Scenarios!$C$4)</f>
        <v>150</v>
      </c>
      <c r="L34" s="21" t="n">
        <f aca="false">K34*(1+Scenarios!$C$4)</f>
        <v>150</v>
      </c>
      <c r="M34" s="21" t="n">
        <f aca="false">L34*(1+Scenarios!$C$4)</f>
        <v>150</v>
      </c>
      <c r="N34" s="21" t="n">
        <f aca="false">M34*(1+Scenarios!$C$4)</f>
        <v>150</v>
      </c>
      <c r="O34" s="21" t="n">
        <f aca="false">N34*(1+Scenarios!$C$4)</f>
        <v>150</v>
      </c>
      <c r="P34" s="21" t="n">
        <f aca="false">O34*(1+Scenarios!$C$4)</f>
        <v>150</v>
      </c>
      <c r="Q34" s="21" t="n">
        <f aca="false">P34*(1+Scenarios!$C$4)</f>
        <v>150</v>
      </c>
    </row>
    <row r="35" customFormat="false" ht="15" hidden="false" customHeight="false" outlineLevel="0" collapsed="false">
      <c r="A35" s="2" t="s">
        <v>104</v>
      </c>
      <c r="C35" s="22" t="n">
        <f aca="false">$B$7</f>
        <v>200000</v>
      </c>
      <c r="D35" s="22" t="n">
        <f aca="false">C35*(1+$B$8*Scenarios!$C$5)</f>
        <v>203000</v>
      </c>
      <c r="E35" s="22" t="n">
        <f aca="false">D35*(1+$B$8*Scenarios!$C$5)</f>
        <v>206045</v>
      </c>
      <c r="F35" s="22" t="n">
        <f aca="false">E35*(1+$B$8*Scenarios!$C$5)</f>
        <v>209135.675</v>
      </c>
      <c r="G35" s="22" t="n">
        <f aca="false">F35*(1+$B$8*Scenarios!$C$5)</f>
        <v>212272.710125</v>
      </c>
      <c r="H35" s="22" t="n">
        <f aca="false">G35*(1+$B$8*Scenarios!$C$5)</f>
        <v>215456.800776875</v>
      </c>
      <c r="I35" s="22" t="n">
        <f aca="false">H35*(1+$B$8*Scenarios!$C$5)</f>
        <v>218688.652788528</v>
      </c>
      <c r="J35" s="22" t="n">
        <f aca="false">I35*(1+$B$8*Scenarios!$C$5)</f>
        <v>221968.982580356</v>
      </c>
      <c r="K35" s="22" t="n">
        <f aca="false">J35*(1+$B$8*Scenarios!$C$5)</f>
        <v>225298.517319061</v>
      </c>
      <c r="L35" s="22" t="n">
        <f aca="false">K35*(1+$B$8*Scenarios!$C$5)</f>
        <v>228677.995078847</v>
      </c>
      <c r="M35" s="22" t="n">
        <f aca="false">L35*(1+$B$8*Scenarios!$C$5)</f>
        <v>232108.16500503</v>
      </c>
      <c r="N35" s="22" t="n">
        <f aca="false">M35*(1+$B$8*Scenarios!$C$5)</f>
        <v>235589.787480105</v>
      </c>
      <c r="O35" s="22" t="n">
        <f aca="false">N35*(1+$B$8*Scenarios!$C$5)</f>
        <v>239123.634292307</v>
      </c>
      <c r="P35" s="22" t="n">
        <f aca="false">O35*(1+$B$8*Scenarios!$C$5)</f>
        <v>242710.488806691</v>
      </c>
      <c r="Q35" s="22" t="n">
        <f aca="false">P35*(1+$B$8*Scenarios!$C$5)</f>
        <v>246351.146138792</v>
      </c>
    </row>
    <row r="36" customFormat="false" ht="15" hidden="false" customHeight="false" outlineLevel="0" collapsed="false">
      <c r="A36" s="2" t="s">
        <v>105</v>
      </c>
      <c r="C36" s="22" t="n">
        <f aca="false">IF($B$10="Prior",0,C35)</f>
        <v>200000</v>
      </c>
      <c r="D36" s="22" t="n">
        <f aca="false">IF($B$10="Prior",C35,D35)</f>
        <v>203000</v>
      </c>
      <c r="E36" s="22" t="n">
        <f aca="false">IF($B$10="Prior",D35,E35)</f>
        <v>206045</v>
      </c>
      <c r="F36" s="22" t="n">
        <f aca="false">IF($B$10="Prior",E35,F35)</f>
        <v>209135.675</v>
      </c>
      <c r="G36" s="22" t="n">
        <f aca="false">IF($B$10="Prior",F35,G35)</f>
        <v>212272.710125</v>
      </c>
      <c r="H36" s="22" t="n">
        <f aca="false">IF($B$10="Prior",G35,H35)</f>
        <v>215456.800776875</v>
      </c>
      <c r="I36" s="22" t="n">
        <f aca="false">IF($B$10="Prior",H35,I35)</f>
        <v>218688.652788528</v>
      </c>
      <c r="J36" s="22" t="n">
        <f aca="false">IF($B$10="Prior",I35,J35)</f>
        <v>221968.982580356</v>
      </c>
      <c r="K36" s="22" t="n">
        <f aca="false">IF($B$10="Prior",J35,K35)</f>
        <v>225298.517319061</v>
      </c>
      <c r="L36" s="22" t="n">
        <f aca="false">IF($B$10="Prior",K35,L35)</f>
        <v>228677.995078847</v>
      </c>
      <c r="M36" s="22" t="n">
        <f aca="false">IF($B$10="Prior",L35,M35)</f>
        <v>232108.16500503</v>
      </c>
      <c r="N36" s="22" t="n">
        <f aca="false">IF($B$10="Prior",M35,N35)</f>
        <v>235589.787480105</v>
      </c>
      <c r="O36" s="22" t="n">
        <f aca="false">IF($B$10="Prior",N35,O35)</f>
        <v>239123.634292307</v>
      </c>
      <c r="P36" s="22" t="n">
        <f aca="false">IF($B$10="Prior",O35,P35)</f>
        <v>242710.488806691</v>
      </c>
      <c r="Q36" s="22" t="n">
        <f aca="false">IF($B$10="Prior",P35,Q35)</f>
        <v>246351.146138792</v>
      </c>
    </row>
    <row r="37" customFormat="false" ht="15" hidden="false" customHeight="false" outlineLevel="0" collapsed="false">
      <c r="A37" s="2" t="s">
        <v>106</v>
      </c>
      <c r="C37" s="22" t="n">
        <f aca="false">IF($B$11="No",0,C36*$B$9*Scenarios!$C$6)</f>
        <v>0</v>
      </c>
      <c r="D37" s="22" t="n">
        <f aca="false">D36*$B$9*Scenarios!$C$6</f>
        <v>33495</v>
      </c>
      <c r="E37" s="22" t="n">
        <f aca="false">E36*$B$9*Scenarios!$C$6</f>
        <v>33997.425</v>
      </c>
      <c r="F37" s="22" t="n">
        <f aca="false">F36*$B$9*Scenarios!$C$6</f>
        <v>34507.386375</v>
      </c>
      <c r="G37" s="22" t="n">
        <f aca="false">G36*$B$9*Scenarios!$C$6</f>
        <v>35024.997170625</v>
      </c>
      <c r="H37" s="22" t="n">
        <f aca="false">H36*$B$9*Scenarios!$C$6</f>
        <v>35550.3721281844</v>
      </c>
      <c r="I37" s="22" t="n">
        <f aca="false">I36*$B$9*Scenarios!$C$6</f>
        <v>36083.6277101071</v>
      </c>
      <c r="J37" s="22" t="n">
        <f aca="false">J36*$B$9*Scenarios!$C$6</f>
        <v>36624.8821257587</v>
      </c>
      <c r="K37" s="22" t="n">
        <f aca="false">K36*$B$9*Scenarios!$C$6</f>
        <v>37174.2553576451</v>
      </c>
      <c r="L37" s="22" t="n">
        <f aca="false">L36*$B$9*Scenarios!$C$6</f>
        <v>37731.8691880098</v>
      </c>
      <c r="M37" s="22" t="n">
        <f aca="false">M36*$B$9*Scenarios!$C$6</f>
        <v>38297.8472258299</v>
      </c>
      <c r="N37" s="22" t="n">
        <f aca="false">N36*$B$9*Scenarios!$C$6</f>
        <v>38872.3149342174</v>
      </c>
      <c r="O37" s="22" t="n">
        <f aca="false">O36*$B$9*Scenarios!$C$6</f>
        <v>39455.3996582306</v>
      </c>
      <c r="P37" s="22" t="n">
        <f aca="false">P36*$B$9*Scenarios!$C$6</f>
        <v>40047.2306531041</v>
      </c>
      <c r="Q37" s="22" t="n">
        <f aca="false">Q36*$B$9*Scenarios!$C$6</f>
        <v>40647.9391129006</v>
      </c>
    </row>
    <row r="38" customFormat="false" ht="15" hidden="false" customHeight="false" outlineLevel="0" collapsed="false">
      <c r="A38" s="2" t="s">
        <v>107</v>
      </c>
      <c r="C38" s="22" t="n">
        <f aca="false">$B$12*$B$13</f>
        <v>50000</v>
      </c>
      <c r="D38" s="22" t="n">
        <f aca="false">$B$12*$B$14</f>
        <v>50000</v>
      </c>
      <c r="E38" s="22" t="n">
        <f aca="false">$B$12*$B$15</f>
        <v>0</v>
      </c>
      <c r="F38" s="22" t="n">
        <v>0</v>
      </c>
      <c r="G38" s="22" t="n">
        <v>0</v>
      </c>
      <c r="H38" s="22" t="n">
        <v>0</v>
      </c>
      <c r="I38" s="22" t="n">
        <v>0</v>
      </c>
      <c r="J38" s="22" t="n">
        <v>0</v>
      </c>
      <c r="K38" s="22" t="n">
        <v>0</v>
      </c>
      <c r="L38" s="22" t="n">
        <v>0</v>
      </c>
      <c r="M38" s="22" t="n">
        <v>0</v>
      </c>
      <c r="N38" s="22" t="n">
        <v>0</v>
      </c>
      <c r="O38" s="22" t="n">
        <v>0</v>
      </c>
      <c r="P38" s="22" t="n">
        <v>0</v>
      </c>
      <c r="Q38" s="22" t="n">
        <v>0</v>
      </c>
    </row>
    <row r="40" customFormat="false" ht="15" hidden="false" customHeight="false" outlineLevel="0" collapsed="false">
      <c r="A40" s="3" t="s">
        <v>108</v>
      </c>
      <c r="S40" s="7" t="s">
        <v>109</v>
      </c>
      <c r="T40" s="7" t="s">
        <v>110</v>
      </c>
      <c r="U40" s="7" t="s">
        <v>111</v>
      </c>
      <c r="V40" s="7" t="s">
        <v>112</v>
      </c>
      <c r="W40" s="7" t="s">
        <v>113</v>
      </c>
    </row>
    <row r="41" customFormat="false" ht="15" hidden="false" customHeight="false" outlineLevel="0" collapsed="false">
      <c r="A41" s="2" t="s">
        <v>97</v>
      </c>
      <c r="C41" s="22" t="n">
        <f aca="false">IF(AND(C$33-$S41+1-$B$22&gt;=1,C$33-$S41+1-$B$22&lt;=8),INDEX($C$26:$J$26,1,C$33-$S41+1-$B$22),0)*$U41*C$34</f>
        <v>0</v>
      </c>
      <c r="D41" s="22" t="n">
        <f aca="false">IF(AND(D$33-$S41+1-$B$22&gt;=1,D$33-$S41+1-$B$22&lt;=8),INDEX($C$26:$J$26,1,D$33-$S41+1-$B$22),0)*$U41*D$34</f>
        <v>160000</v>
      </c>
      <c r="E41" s="22" t="n">
        <f aca="false">IF(AND(E$33-$S41+1-$B$22&gt;=1,E$33-$S41+1-$B$22&lt;=8),INDEX($C$26:$J$26,1,E$33-$S41+1-$B$22),0)*$U41*E$34</f>
        <v>112000</v>
      </c>
      <c r="F41" s="22" t="n">
        <f aca="false">IF(AND(F$33-$S41+1-$B$22&gt;=1,F$33-$S41+1-$B$22&lt;=8),INDEX($C$26:$J$26,1,F$33-$S41+1-$B$22),0)*$U41*F$34</f>
        <v>80000</v>
      </c>
      <c r="G41" s="22" t="n">
        <f aca="false">IF(AND(G$33-$S41+1-$B$22&gt;=1,G$33-$S41+1-$B$22&lt;=8),INDEX($C$26:$J$26,1,G$33-$S41+1-$B$22),0)*$U41*G$34</f>
        <v>48000</v>
      </c>
      <c r="H41" s="22" t="n">
        <f aca="false">IF(AND(H$33-$S41+1-$B$22&gt;=1,H$33-$S41+1-$B$22&lt;=8),INDEX($C$26:$J$26,1,H$33-$S41+1-$B$22),0)*$U41*H$34</f>
        <v>0</v>
      </c>
      <c r="I41" s="22" t="n">
        <f aca="false">IF(AND(I$33-$S41+1-$B$22&gt;=1,I$33-$S41+1-$B$22&lt;=8),INDEX($C$26:$J$26,1,I$33-$S41+1-$B$22),0)*$U41*I$34</f>
        <v>0</v>
      </c>
      <c r="J41" s="22" t="n">
        <f aca="false">IF(AND(J$33-$S41+1-$B$22&gt;=1,J$33-$S41+1-$B$22&lt;=8),INDEX($C$26:$J$26,1,J$33-$S41+1-$B$22),0)*$U41*J$34</f>
        <v>0</v>
      </c>
      <c r="K41" s="22" t="n">
        <f aca="false">IF(AND(K$33-$S41+1-$B$22&gt;=1,K$33-$S41+1-$B$22&lt;=8),INDEX($C$26:$J$26,1,K$33-$S41+1-$B$22),0)*$U41*K$34</f>
        <v>0</v>
      </c>
      <c r="L41" s="22" t="n">
        <f aca="false">IF(AND(L$33-$S41+1-$B$22&gt;=1,L$33-$S41+1-$B$22&lt;=8),INDEX($C$26:$J$26,1,L$33-$S41+1-$B$22),0)*$U41*L$34</f>
        <v>0</v>
      </c>
      <c r="M41" s="22" t="n">
        <f aca="false">IF(AND(M$33-$S41+1-$B$22&gt;=1,M$33-$S41+1-$B$22&lt;=8),INDEX($C$26:$J$26,1,M$33-$S41+1-$B$22),0)*$U41*M$34</f>
        <v>0</v>
      </c>
      <c r="N41" s="22" t="n">
        <f aca="false">IF(AND(N$33-$S41+1-$B$22&gt;=1,N$33-$S41+1-$B$22&lt;=8),INDEX($C$26:$J$26,1,N$33-$S41+1-$B$22),0)*$U41*N$34</f>
        <v>0</v>
      </c>
      <c r="O41" s="22" t="n">
        <f aca="false">IF(AND(O$33-$S41+1-$B$22&gt;=1,O$33-$S41+1-$B$22&lt;=8),INDEX($C$26:$J$26,1,O$33-$S41+1-$B$22),0)*$U41*O$34</f>
        <v>0</v>
      </c>
      <c r="P41" s="22" t="n">
        <f aca="false">IF(AND(P$33-$S41+1-$B$22&gt;=1,P$33-$S41+1-$B$22&lt;=8),INDEX($C$26:$J$26,1,P$33-$S41+1-$B$22),0)*$U41*P$34</f>
        <v>0</v>
      </c>
      <c r="Q41" s="22" t="n">
        <f aca="false">IF(AND(Q$33-$S41+1-$B$22&gt;=1,Q$33-$S41+1-$B$22&lt;=8),INDEX($C$26:$J$26,1,Q$33-$S41+1-$B$22),0)*$U41*Q$34</f>
        <v>0</v>
      </c>
      <c r="S41" s="23" t="n">
        <f aca="false">$B$6</f>
        <v>2026</v>
      </c>
      <c r="T41" s="22" t="n">
        <f aca="false">$B$18</f>
        <v>400000</v>
      </c>
      <c r="U41" s="24" t="n">
        <f aca="false">IFERROR(T41/$B$17,0)</f>
        <v>2666.66666666667</v>
      </c>
      <c r="V41" s="24" t="n">
        <f aca="false">SUMPRODUCT(($C$25:$J$25&lt;=$Q$33-$S41+1-$B$22)*$C$26:$J$26)*$U41</f>
        <v>2666.66666666667</v>
      </c>
      <c r="W41" s="24" t="n">
        <f aca="false">$U41-$V41</f>
        <v>0</v>
      </c>
    </row>
    <row r="42" customFormat="false" ht="15" hidden="false" customHeight="false" outlineLevel="0" collapsed="false">
      <c r="A42" s="2" t="s">
        <v>114</v>
      </c>
      <c r="C42" s="22" t="n">
        <f aca="false">IF(AND(C$33-$S42+1-$B$22&gt;=1,C$33-$S42+1-$B$22&lt;=8),INDEX($C$27:$J$27,1,C$33-$S42+1-$B$22),0)*$U42*C$34</f>
        <v>0</v>
      </c>
      <c r="D42" s="22" t="n">
        <f aca="false">IF(AND(D$33-$S42+1-$B$22&gt;=1,D$33-$S42+1-$B$22&lt;=8),INDEX($C$27:$J$27,1,D$33-$S42+1-$B$22),0)*$U42*D$34</f>
        <v>0</v>
      </c>
      <c r="E42" s="22" t="n">
        <f aca="false">IF(AND(E$33-$S42+1-$B$22&gt;=1,E$33-$S42+1-$B$22&lt;=8),INDEX($C$27:$J$27,1,E$33-$S42+1-$B$22),0)*$U42*E$34</f>
        <v>37500</v>
      </c>
      <c r="F42" s="22" t="n">
        <f aca="false">IF(AND(F$33-$S42+1-$B$22&gt;=1,F$33-$S42+1-$B$22&lt;=8),INDEX($C$27:$J$27,1,F$33-$S42+1-$B$22),0)*$U42*F$34</f>
        <v>37500</v>
      </c>
      <c r="G42" s="22" t="n">
        <f aca="false">IF(AND(G$33-$S42+1-$B$22&gt;=1,G$33-$S42+1-$B$22&lt;=8),INDEX($C$27:$J$27,1,G$33-$S42+1-$B$22),0)*$U42*G$34</f>
        <v>37500</v>
      </c>
      <c r="H42" s="22" t="n">
        <f aca="false">IF(AND(H$33-$S42+1-$B$22&gt;=1,H$33-$S42+1-$B$22&lt;=8),INDEX($C$27:$J$27,1,H$33-$S42+1-$B$22),0)*$U42*H$34</f>
        <v>37500</v>
      </c>
      <c r="I42" s="22" t="n">
        <f aca="false">IF(AND(I$33-$S42+1-$B$22&gt;=1,I$33-$S42+1-$B$22&lt;=8),INDEX($C$27:$J$27,1,I$33-$S42+1-$B$22),0)*$U42*I$34</f>
        <v>0</v>
      </c>
      <c r="J42" s="22" t="n">
        <f aca="false">IF(AND(J$33-$S42+1-$B$22&gt;=1,J$33-$S42+1-$B$22&lt;=8),INDEX($C$27:$J$27,1,J$33-$S42+1-$B$22),0)*$U42*J$34</f>
        <v>0</v>
      </c>
      <c r="K42" s="22" t="n">
        <f aca="false">IF(AND(K$33-$S42+1-$B$22&gt;=1,K$33-$S42+1-$B$22&lt;=8),INDEX($C$27:$J$27,1,K$33-$S42+1-$B$22),0)*$U42*K$34</f>
        <v>0</v>
      </c>
      <c r="L42" s="22" t="n">
        <f aca="false">IF(AND(L$33-$S42+1-$B$22&gt;=1,L$33-$S42+1-$B$22&lt;=8),INDEX($C$27:$J$27,1,L$33-$S42+1-$B$22),0)*$U42*L$34</f>
        <v>0</v>
      </c>
      <c r="M42" s="22" t="n">
        <f aca="false">IF(AND(M$33-$S42+1-$B$22&gt;=1,M$33-$S42+1-$B$22&lt;=8),INDEX($C$27:$J$27,1,M$33-$S42+1-$B$22),0)*$U42*M$34</f>
        <v>0</v>
      </c>
      <c r="N42" s="22" t="n">
        <f aca="false">IF(AND(N$33-$S42+1-$B$22&gt;=1,N$33-$S42+1-$B$22&lt;=8),INDEX($C$27:$J$27,1,N$33-$S42+1-$B$22),0)*$U42*N$34</f>
        <v>0</v>
      </c>
      <c r="O42" s="22" t="n">
        <f aca="false">IF(AND(O$33-$S42+1-$B$22&gt;=1,O$33-$S42+1-$B$22&lt;=8),INDEX($C$27:$J$27,1,O$33-$S42+1-$B$22),0)*$U42*O$34</f>
        <v>0</v>
      </c>
      <c r="P42" s="22" t="n">
        <f aca="false">IF(AND(P$33-$S42+1-$B$22&gt;=1,P$33-$S42+1-$B$22&lt;=8),INDEX($C$27:$J$27,1,P$33-$S42+1-$B$22),0)*$U42*P$34</f>
        <v>0</v>
      </c>
      <c r="Q42" s="22" t="n">
        <f aca="false">IF(AND(Q$33-$S42+1-$B$22&gt;=1,Q$33-$S42+1-$B$22&lt;=8),INDEX($C$27:$J$27,1,Q$33-$S42+1-$B$22),0)*$U42*Q$34</f>
        <v>0</v>
      </c>
      <c r="S42" s="23" t="n">
        <f aca="false">$B$20+0</f>
        <v>2027</v>
      </c>
      <c r="T42" s="22" t="n">
        <f aca="false">IF($S42&gt;$B$20+Scenarios!$C$8-1,0,$B$19*(1+$B$21*Scenarios!$C$7)^0)</f>
        <v>150000</v>
      </c>
      <c r="U42" s="24" t="n">
        <f aca="false">IFERROR($T42/INDEX($C$34:$Q$34,1,MATCH($S42,$C$33:$Q$33,0)),0)</f>
        <v>1000</v>
      </c>
      <c r="V42" s="24" t="n">
        <f aca="false">SUMPRODUCT(($C$25:$J$25&lt;=$Q$33-$S42+1-$B$22)*$C$27:$J$27)*$U42</f>
        <v>1000</v>
      </c>
      <c r="W42" s="24" t="n">
        <f aca="false">$U42-$V42</f>
        <v>0</v>
      </c>
    </row>
    <row r="43" customFormat="false" ht="15" hidden="false" customHeight="false" outlineLevel="0" collapsed="false">
      <c r="A43" s="2" t="s">
        <v>115</v>
      </c>
      <c r="C43" s="22" t="n">
        <f aca="false">IF(AND(C$33-$S43+1-$B$22&gt;=1,C$33-$S43+1-$B$22&lt;=8),INDEX($C$27:$J$27,1,C$33-$S43+1-$B$22),0)*$U43*C$34</f>
        <v>0</v>
      </c>
      <c r="D43" s="22" t="n">
        <f aca="false">IF(AND(D$33-$S43+1-$B$22&gt;=1,D$33-$S43+1-$B$22&lt;=8),INDEX($C$27:$J$27,1,D$33-$S43+1-$B$22),0)*$U43*D$34</f>
        <v>0</v>
      </c>
      <c r="E43" s="22" t="n">
        <f aca="false">IF(AND(E$33-$S43+1-$B$22&gt;=1,E$33-$S43+1-$B$22&lt;=8),INDEX($C$27:$J$27,1,E$33-$S43+1-$B$22),0)*$U43*E$34</f>
        <v>0</v>
      </c>
      <c r="F43" s="22" t="n">
        <f aca="false">IF(AND(F$33-$S43+1-$B$22&gt;=1,F$33-$S43+1-$B$22&lt;=8),INDEX($C$27:$J$27,1,F$33-$S43+1-$B$22),0)*$U43*F$34</f>
        <v>37500</v>
      </c>
      <c r="G43" s="22" t="n">
        <f aca="false">IF(AND(G$33-$S43+1-$B$22&gt;=1,G$33-$S43+1-$B$22&lt;=8),INDEX($C$27:$J$27,1,G$33-$S43+1-$B$22),0)*$U43*G$34</f>
        <v>37500</v>
      </c>
      <c r="H43" s="22" t="n">
        <f aca="false">IF(AND(H$33-$S43+1-$B$22&gt;=1,H$33-$S43+1-$B$22&lt;=8),INDEX($C$27:$J$27,1,H$33-$S43+1-$B$22),0)*$U43*H$34</f>
        <v>37500</v>
      </c>
      <c r="I43" s="22" t="n">
        <f aca="false">IF(AND(I$33-$S43+1-$B$22&gt;=1,I$33-$S43+1-$B$22&lt;=8),INDEX($C$27:$J$27,1,I$33-$S43+1-$B$22),0)*$U43*I$34</f>
        <v>37500</v>
      </c>
      <c r="J43" s="22" t="n">
        <f aca="false">IF(AND(J$33-$S43+1-$B$22&gt;=1,J$33-$S43+1-$B$22&lt;=8),INDEX($C$27:$J$27,1,J$33-$S43+1-$B$22),0)*$U43*J$34</f>
        <v>0</v>
      </c>
      <c r="K43" s="22" t="n">
        <f aca="false">IF(AND(K$33-$S43+1-$B$22&gt;=1,K$33-$S43+1-$B$22&lt;=8),INDEX($C$27:$J$27,1,K$33-$S43+1-$B$22),0)*$U43*K$34</f>
        <v>0</v>
      </c>
      <c r="L43" s="22" t="n">
        <f aca="false">IF(AND(L$33-$S43+1-$B$22&gt;=1,L$33-$S43+1-$B$22&lt;=8),INDEX($C$27:$J$27,1,L$33-$S43+1-$B$22),0)*$U43*L$34</f>
        <v>0</v>
      </c>
      <c r="M43" s="22" t="n">
        <f aca="false">IF(AND(M$33-$S43+1-$B$22&gt;=1,M$33-$S43+1-$B$22&lt;=8),INDEX($C$27:$J$27,1,M$33-$S43+1-$B$22),0)*$U43*M$34</f>
        <v>0</v>
      </c>
      <c r="N43" s="22" t="n">
        <f aca="false">IF(AND(N$33-$S43+1-$B$22&gt;=1,N$33-$S43+1-$B$22&lt;=8),INDEX($C$27:$J$27,1,N$33-$S43+1-$B$22),0)*$U43*N$34</f>
        <v>0</v>
      </c>
      <c r="O43" s="22" t="n">
        <f aca="false">IF(AND(O$33-$S43+1-$B$22&gt;=1,O$33-$S43+1-$B$22&lt;=8),INDEX($C$27:$J$27,1,O$33-$S43+1-$B$22),0)*$U43*O$34</f>
        <v>0</v>
      </c>
      <c r="P43" s="22" t="n">
        <f aca="false">IF(AND(P$33-$S43+1-$B$22&gt;=1,P$33-$S43+1-$B$22&lt;=8),INDEX($C$27:$J$27,1,P$33-$S43+1-$B$22),0)*$U43*P$34</f>
        <v>0</v>
      </c>
      <c r="Q43" s="22" t="n">
        <f aca="false">IF(AND(Q$33-$S43+1-$B$22&gt;=1,Q$33-$S43+1-$B$22&lt;=8),INDEX($C$27:$J$27,1,Q$33-$S43+1-$B$22),0)*$U43*Q$34</f>
        <v>0</v>
      </c>
      <c r="S43" s="23" t="n">
        <f aca="false">$B$20+1</f>
        <v>2028</v>
      </c>
      <c r="T43" s="22" t="n">
        <f aca="false">IF($S43&gt;$B$20+Scenarios!$C$8-1,0,$B$19*(1+$B$21*Scenarios!$C$7)^1)</f>
        <v>150000</v>
      </c>
      <c r="U43" s="24" t="n">
        <f aca="false">IFERROR($T43/INDEX($C$34:$Q$34,1,MATCH($S43,$C$33:$Q$33,0)),0)</f>
        <v>1000</v>
      </c>
      <c r="V43" s="24" t="n">
        <f aca="false">SUMPRODUCT(($C$25:$J$25&lt;=$Q$33-$S43+1-$B$22)*$C$27:$J$27)*$U43</f>
        <v>1000</v>
      </c>
      <c r="W43" s="24" t="n">
        <f aca="false">$U43-$V43</f>
        <v>0</v>
      </c>
    </row>
    <row r="44" customFormat="false" ht="15" hidden="false" customHeight="false" outlineLevel="0" collapsed="false">
      <c r="A44" s="2" t="s">
        <v>116</v>
      </c>
      <c r="C44" s="22" t="n">
        <f aca="false">IF(AND(C$33-$S44+1-$B$22&gt;=1,C$33-$S44+1-$B$22&lt;=8),INDEX($C$27:$J$27,1,C$33-$S44+1-$B$22),0)*$U44*C$34</f>
        <v>0</v>
      </c>
      <c r="D44" s="22" t="n">
        <f aca="false">IF(AND(D$33-$S44+1-$B$22&gt;=1,D$33-$S44+1-$B$22&lt;=8),INDEX($C$27:$J$27,1,D$33-$S44+1-$B$22),0)*$U44*D$34</f>
        <v>0</v>
      </c>
      <c r="E44" s="22" t="n">
        <f aca="false">IF(AND(E$33-$S44+1-$B$22&gt;=1,E$33-$S44+1-$B$22&lt;=8),INDEX($C$27:$J$27,1,E$33-$S44+1-$B$22),0)*$U44*E$34</f>
        <v>0</v>
      </c>
      <c r="F44" s="22" t="n">
        <f aca="false">IF(AND(F$33-$S44+1-$B$22&gt;=1,F$33-$S44+1-$B$22&lt;=8),INDEX($C$27:$J$27,1,F$33-$S44+1-$B$22),0)*$U44*F$34</f>
        <v>0</v>
      </c>
      <c r="G44" s="22" t="n">
        <f aca="false">IF(AND(G$33-$S44+1-$B$22&gt;=1,G$33-$S44+1-$B$22&lt;=8),INDEX($C$27:$J$27,1,G$33-$S44+1-$B$22),0)*$U44*G$34</f>
        <v>37500</v>
      </c>
      <c r="H44" s="22" t="n">
        <f aca="false">IF(AND(H$33-$S44+1-$B$22&gt;=1,H$33-$S44+1-$B$22&lt;=8),INDEX($C$27:$J$27,1,H$33-$S44+1-$B$22),0)*$U44*H$34</f>
        <v>37500</v>
      </c>
      <c r="I44" s="22" t="n">
        <f aca="false">IF(AND(I$33-$S44+1-$B$22&gt;=1,I$33-$S44+1-$B$22&lt;=8),INDEX($C$27:$J$27,1,I$33-$S44+1-$B$22),0)*$U44*I$34</f>
        <v>37500</v>
      </c>
      <c r="J44" s="22" t="n">
        <f aca="false">IF(AND(J$33-$S44+1-$B$22&gt;=1,J$33-$S44+1-$B$22&lt;=8),INDEX($C$27:$J$27,1,J$33-$S44+1-$B$22),0)*$U44*J$34</f>
        <v>37500</v>
      </c>
      <c r="K44" s="22" t="n">
        <f aca="false">IF(AND(K$33-$S44+1-$B$22&gt;=1,K$33-$S44+1-$B$22&lt;=8),INDEX($C$27:$J$27,1,K$33-$S44+1-$B$22),0)*$U44*K$34</f>
        <v>0</v>
      </c>
      <c r="L44" s="22" t="n">
        <f aca="false">IF(AND(L$33-$S44+1-$B$22&gt;=1,L$33-$S44+1-$B$22&lt;=8),INDEX($C$27:$J$27,1,L$33-$S44+1-$B$22),0)*$U44*L$34</f>
        <v>0</v>
      </c>
      <c r="M44" s="22" t="n">
        <f aca="false">IF(AND(M$33-$S44+1-$B$22&gt;=1,M$33-$S44+1-$B$22&lt;=8),INDEX($C$27:$J$27,1,M$33-$S44+1-$B$22),0)*$U44*M$34</f>
        <v>0</v>
      </c>
      <c r="N44" s="22" t="n">
        <f aca="false">IF(AND(N$33-$S44+1-$B$22&gt;=1,N$33-$S44+1-$B$22&lt;=8),INDEX($C$27:$J$27,1,N$33-$S44+1-$B$22),0)*$U44*N$34</f>
        <v>0</v>
      </c>
      <c r="O44" s="22" t="n">
        <f aca="false">IF(AND(O$33-$S44+1-$B$22&gt;=1,O$33-$S44+1-$B$22&lt;=8),INDEX($C$27:$J$27,1,O$33-$S44+1-$B$22),0)*$U44*O$34</f>
        <v>0</v>
      </c>
      <c r="P44" s="22" t="n">
        <f aca="false">IF(AND(P$33-$S44+1-$B$22&gt;=1,P$33-$S44+1-$B$22&lt;=8),INDEX($C$27:$J$27,1,P$33-$S44+1-$B$22),0)*$U44*P$34</f>
        <v>0</v>
      </c>
      <c r="Q44" s="22" t="n">
        <f aca="false">IF(AND(Q$33-$S44+1-$B$22&gt;=1,Q$33-$S44+1-$B$22&lt;=8),INDEX($C$27:$J$27,1,Q$33-$S44+1-$B$22),0)*$U44*Q$34</f>
        <v>0</v>
      </c>
      <c r="S44" s="23" t="n">
        <f aca="false">$B$20+2</f>
        <v>2029</v>
      </c>
      <c r="T44" s="22" t="n">
        <f aca="false">IF($S44&gt;$B$20+Scenarios!$C$8-1,0,$B$19*(1+$B$21*Scenarios!$C$7)^2)</f>
        <v>150000</v>
      </c>
      <c r="U44" s="24" t="n">
        <f aca="false">IFERROR($T44/INDEX($C$34:$Q$34,1,MATCH($S44,$C$33:$Q$33,0)),0)</f>
        <v>1000</v>
      </c>
      <c r="V44" s="24" t="n">
        <f aca="false">SUMPRODUCT(($C$25:$J$25&lt;=$Q$33-$S44+1-$B$22)*$C$27:$J$27)*$U44</f>
        <v>1000</v>
      </c>
      <c r="W44" s="24" t="n">
        <f aca="false">$U44-$V44</f>
        <v>0</v>
      </c>
    </row>
    <row r="45" customFormat="false" ht="15" hidden="false" customHeight="false" outlineLevel="0" collapsed="false">
      <c r="A45" s="2" t="s">
        <v>117</v>
      </c>
      <c r="C45" s="22" t="n">
        <f aca="false">IF(AND(C$33-$S45+1-$B$22&gt;=1,C$33-$S45+1-$B$22&lt;=8),INDEX($C$27:$J$27,1,C$33-$S45+1-$B$22),0)*$U45*C$34</f>
        <v>0</v>
      </c>
      <c r="D45" s="22" t="n">
        <f aca="false">IF(AND(D$33-$S45+1-$B$22&gt;=1,D$33-$S45+1-$B$22&lt;=8),INDEX($C$27:$J$27,1,D$33-$S45+1-$B$22),0)*$U45*D$34</f>
        <v>0</v>
      </c>
      <c r="E45" s="22" t="n">
        <f aca="false">IF(AND(E$33-$S45+1-$B$22&gt;=1,E$33-$S45+1-$B$22&lt;=8),INDEX($C$27:$J$27,1,E$33-$S45+1-$B$22),0)*$U45*E$34</f>
        <v>0</v>
      </c>
      <c r="F45" s="22" t="n">
        <f aca="false">IF(AND(F$33-$S45+1-$B$22&gt;=1,F$33-$S45+1-$B$22&lt;=8),INDEX($C$27:$J$27,1,F$33-$S45+1-$B$22),0)*$U45*F$34</f>
        <v>0</v>
      </c>
      <c r="G45" s="22" t="n">
        <f aca="false">IF(AND(G$33-$S45+1-$B$22&gt;=1,G$33-$S45+1-$B$22&lt;=8),INDEX($C$27:$J$27,1,G$33-$S45+1-$B$22),0)*$U45*G$34</f>
        <v>0</v>
      </c>
      <c r="H45" s="22" t="n">
        <f aca="false">IF(AND(H$33-$S45+1-$B$22&gt;=1,H$33-$S45+1-$B$22&lt;=8),INDEX($C$27:$J$27,1,H$33-$S45+1-$B$22),0)*$U45*H$34</f>
        <v>37500</v>
      </c>
      <c r="I45" s="22" t="n">
        <f aca="false">IF(AND(I$33-$S45+1-$B$22&gt;=1,I$33-$S45+1-$B$22&lt;=8),INDEX($C$27:$J$27,1,I$33-$S45+1-$B$22),0)*$U45*I$34</f>
        <v>37500</v>
      </c>
      <c r="J45" s="22" t="n">
        <f aca="false">IF(AND(J$33-$S45+1-$B$22&gt;=1,J$33-$S45+1-$B$22&lt;=8),INDEX($C$27:$J$27,1,J$33-$S45+1-$B$22),0)*$U45*J$34</f>
        <v>37500</v>
      </c>
      <c r="K45" s="22" t="n">
        <f aca="false">IF(AND(K$33-$S45+1-$B$22&gt;=1,K$33-$S45+1-$B$22&lt;=8),INDEX($C$27:$J$27,1,K$33-$S45+1-$B$22),0)*$U45*K$34</f>
        <v>37500</v>
      </c>
      <c r="L45" s="22" t="n">
        <f aca="false">IF(AND(L$33-$S45+1-$B$22&gt;=1,L$33-$S45+1-$B$22&lt;=8),INDEX($C$27:$J$27,1,L$33-$S45+1-$B$22),0)*$U45*L$34</f>
        <v>0</v>
      </c>
      <c r="M45" s="22" t="n">
        <f aca="false">IF(AND(M$33-$S45+1-$B$22&gt;=1,M$33-$S45+1-$B$22&lt;=8),INDEX($C$27:$J$27,1,M$33-$S45+1-$B$22),0)*$U45*M$34</f>
        <v>0</v>
      </c>
      <c r="N45" s="22" t="n">
        <f aca="false">IF(AND(N$33-$S45+1-$B$22&gt;=1,N$33-$S45+1-$B$22&lt;=8),INDEX($C$27:$J$27,1,N$33-$S45+1-$B$22),0)*$U45*N$34</f>
        <v>0</v>
      </c>
      <c r="O45" s="22" t="n">
        <f aca="false">IF(AND(O$33-$S45+1-$B$22&gt;=1,O$33-$S45+1-$B$22&lt;=8),INDEX($C$27:$J$27,1,O$33-$S45+1-$B$22),0)*$U45*O$34</f>
        <v>0</v>
      </c>
      <c r="P45" s="22" t="n">
        <f aca="false">IF(AND(P$33-$S45+1-$B$22&gt;=1,P$33-$S45+1-$B$22&lt;=8),INDEX($C$27:$J$27,1,P$33-$S45+1-$B$22),0)*$U45*P$34</f>
        <v>0</v>
      </c>
      <c r="Q45" s="22" t="n">
        <f aca="false">IF(AND(Q$33-$S45+1-$B$22&gt;=1,Q$33-$S45+1-$B$22&lt;=8),INDEX($C$27:$J$27,1,Q$33-$S45+1-$B$22),0)*$U45*Q$34</f>
        <v>0</v>
      </c>
      <c r="S45" s="23" t="n">
        <f aca="false">$B$20+3</f>
        <v>2030</v>
      </c>
      <c r="T45" s="22" t="n">
        <f aca="false">IF($S45&gt;$B$20+Scenarios!$C$8-1,0,$B$19*(1+$B$21*Scenarios!$C$7)^3)</f>
        <v>150000</v>
      </c>
      <c r="U45" s="24" t="n">
        <f aca="false">IFERROR($T45/INDEX($C$34:$Q$34,1,MATCH($S45,$C$33:$Q$33,0)),0)</f>
        <v>1000</v>
      </c>
      <c r="V45" s="24" t="n">
        <f aca="false">SUMPRODUCT(($C$25:$J$25&lt;=$Q$33-$S45+1-$B$22)*$C$27:$J$27)*$U45</f>
        <v>1000</v>
      </c>
      <c r="W45" s="24" t="n">
        <f aca="false">$U45-$V45</f>
        <v>0</v>
      </c>
    </row>
    <row r="46" customFormat="false" ht="15" hidden="false" customHeight="false" outlineLevel="0" collapsed="false">
      <c r="A46" s="2" t="s">
        <v>118</v>
      </c>
      <c r="C46" s="22" t="n">
        <f aca="false">IF(AND(C$33-$S46+1-$B$22&gt;=1,C$33-$S46+1-$B$22&lt;=8),INDEX($C$27:$J$27,1,C$33-$S46+1-$B$22),0)*$U46*C$34</f>
        <v>0</v>
      </c>
      <c r="D46" s="22" t="n">
        <f aca="false">IF(AND(D$33-$S46+1-$B$22&gt;=1,D$33-$S46+1-$B$22&lt;=8),INDEX($C$27:$J$27,1,D$33-$S46+1-$B$22),0)*$U46*D$34</f>
        <v>0</v>
      </c>
      <c r="E46" s="22" t="n">
        <f aca="false">IF(AND(E$33-$S46+1-$B$22&gt;=1,E$33-$S46+1-$B$22&lt;=8),INDEX($C$27:$J$27,1,E$33-$S46+1-$B$22),0)*$U46*E$34</f>
        <v>0</v>
      </c>
      <c r="F46" s="22" t="n">
        <f aca="false">IF(AND(F$33-$S46+1-$B$22&gt;=1,F$33-$S46+1-$B$22&lt;=8),INDEX($C$27:$J$27,1,F$33-$S46+1-$B$22),0)*$U46*F$34</f>
        <v>0</v>
      </c>
      <c r="G46" s="22" t="n">
        <f aca="false">IF(AND(G$33-$S46+1-$B$22&gt;=1,G$33-$S46+1-$B$22&lt;=8),INDEX($C$27:$J$27,1,G$33-$S46+1-$B$22),0)*$U46*G$34</f>
        <v>0</v>
      </c>
      <c r="H46" s="22" t="n">
        <f aca="false">IF(AND(H$33-$S46+1-$B$22&gt;=1,H$33-$S46+1-$B$22&lt;=8),INDEX($C$27:$J$27,1,H$33-$S46+1-$B$22),0)*$U46*H$34</f>
        <v>0</v>
      </c>
      <c r="I46" s="22" t="n">
        <f aca="false">IF(AND(I$33-$S46+1-$B$22&gt;=1,I$33-$S46+1-$B$22&lt;=8),INDEX($C$27:$J$27,1,I$33-$S46+1-$B$22),0)*$U46*I$34</f>
        <v>0</v>
      </c>
      <c r="J46" s="22" t="n">
        <f aca="false">IF(AND(J$33-$S46+1-$B$22&gt;=1,J$33-$S46+1-$B$22&lt;=8),INDEX($C$27:$J$27,1,J$33-$S46+1-$B$22),0)*$U46*J$34</f>
        <v>0</v>
      </c>
      <c r="K46" s="22" t="n">
        <f aca="false">IF(AND(K$33-$S46+1-$B$22&gt;=1,K$33-$S46+1-$B$22&lt;=8),INDEX($C$27:$J$27,1,K$33-$S46+1-$B$22),0)*$U46*K$34</f>
        <v>0</v>
      </c>
      <c r="L46" s="22" t="n">
        <f aca="false">IF(AND(L$33-$S46+1-$B$22&gt;=1,L$33-$S46+1-$B$22&lt;=8),INDEX($C$27:$J$27,1,L$33-$S46+1-$B$22),0)*$U46*L$34</f>
        <v>0</v>
      </c>
      <c r="M46" s="22" t="n">
        <f aca="false">IF(AND(M$33-$S46+1-$B$22&gt;=1,M$33-$S46+1-$B$22&lt;=8),INDEX($C$27:$J$27,1,M$33-$S46+1-$B$22),0)*$U46*M$34</f>
        <v>0</v>
      </c>
      <c r="N46" s="22" t="n">
        <f aca="false">IF(AND(N$33-$S46+1-$B$22&gt;=1,N$33-$S46+1-$B$22&lt;=8),INDEX($C$27:$J$27,1,N$33-$S46+1-$B$22),0)*$U46*N$34</f>
        <v>0</v>
      </c>
      <c r="O46" s="22" t="n">
        <f aca="false">IF(AND(O$33-$S46+1-$B$22&gt;=1,O$33-$S46+1-$B$22&lt;=8),INDEX($C$27:$J$27,1,O$33-$S46+1-$B$22),0)*$U46*O$34</f>
        <v>0</v>
      </c>
      <c r="P46" s="22" t="n">
        <f aca="false">IF(AND(P$33-$S46+1-$B$22&gt;=1,P$33-$S46+1-$B$22&lt;=8),INDEX($C$27:$J$27,1,P$33-$S46+1-$B$22),0)*$U46*P$34</f>
        <v>0</v>
      </c>
      <c r="Q46" s="22" t="n">
        <f aca="false">IF(AND(Q$33-$S46+1-$B$22&gt;=1,Q$33-$S46+1-$B$22&lt;=8),INDEX($C$27:$J$27,1,Q$33-$S46+1-$B$22),0)*$U46*Q$34</f>
        <v>0</v>
      </c>
      <c r="S46" s="23" t="n">
        <f aca="false">$B$20+4</f>
        <v>2031</v>
      </c>
      <c r="T46" s="22" t="n">
        <f aca="false">IF($S46&gt;$B$20+Scenarios!$C$8-1,0,$B$19*(1+$B$21*Scenarios!$C$7)^4)</f>
        <v>0</v>
      </c>
      <c r="U46" s="24" t="n">
        <f aca="false">IFERROR($T46/INDEX($C$34:$Q$34,1,MATCH($S46,$C$33:$Q$33,0)),0)</f>
        <v>0</v>
      </c>
      <c r="V46" s="24" t="n">
        <f aca="false">SUMPRODUCT(($C$25:$J$25&lt;=$Q$33-$S46+1-$B$22)*$C$27:$J$27)*$U46</f>
        <v>0</v>
      </c>
      <c r="W46" s="24" t="n">
        <f aca="false">$U46-$V46</f>
        <v>0</v>
      </c>
    </row>
    <row r="47" customFormat="false" ht="15" hidden="false" customHeight="false" outlineLevel="0" collapsed="false">
      <c r="A47" s="2" t="s">
        <v>119</v>
      </c>
      <c r="C47" s="22" t="n">
        <f aca="false">IF(AND(C$33-$S47+1-$B$22&gt;=1,C$33-$S47+1-$B$22&lt;=8),INDEX($C$27:$J$27,1,C$33-$S47+1-$B$22),0)*$U47*C$34</f>
        <v>0</v>
      </c>
      <c r="D47" s="22" t="n">
        <f aca="false">IF(AND(D$33-$S47+1-$B$22&gt;=1,D$33-$S47+1-$B$22&lt;=8),INDEX($C$27:$J$27,1,D$33-$S47+1-$B$22),0)*$U47*D$34</f>
        <v>0</v>
      </c>
      <c r="E47" s="22" t="n">
        <f aca="false">IF(AND(E$33-$S47+1-$B$22&gt;=1,E$33-$S47+1-$B$22&lt;=8),INDEX($C$27:$J$27,1,E$33-$S47+1-$B$22),0)*$U47*E$34</f>
        <v>0</v>
      </c>
      <c r="F47" s="22" t="n">
        <f aca="false">IF(AND(F$33-$S47+1-$B$22&gt;=1,F$33-$S47+1-$B$22&lt;=8),INDEX($C$27:$J$27,1,F$33-$S47+1-$B$22),0)*$U47*F$34</f>
        <v>0</v>
      </c>
      <c r="G47" s="22" t="n">
        <f aca="false">IF(AND(G$33-$S47+1-$B$22&gt;=1,G$33-$S47+1-$B$22&lt;=8),INDEX($C$27:$J$27,1,G$33-$S47+1-$B$22),0)*$U47*G$34</f>
        <v>0</v>
      </c>
      <c r="H47" s="22" t="n">
        <f aca="false">IF(AND(H$33-$S47+1-$B$22&gt;=1,H$33-$S47+1-$B$22&lt;=8),INDEX($C$27:$J$27,1,H$33-$S47+1-$B$22),0)*$U47*H$34</f>
        <v>0</v>
      </c>
      <c r="I47" s="22" t="n">
        <f aca="false">IF(AND(I$33-$S47+1-$B$22&gt;=1,I$33-$S47+1-$B$22&lt;=8),INDEX($C$27:$J$27,1,I$33-$S47+1-$B$22),0)*$U47*I$34</f>
        <v>0</v>
      </c>
      <c r="J47" s="22" t="n">
        <f aca="false">IF(AND(J$33-$S47+1-$B$22&gt;=1,J$33-$S47+1-$B$22&lt;=8),INDEX($C$27:$J$27,1,J$33-$S47+1-$B$22),0)*$U47*J$34</f>
        <v>0</v>
      </c>
      <c r="K47" s="22" t="n">
        <f aca="false">IF(AND(K$33-$S47+1-$B$22&gt;=1,K$33-$S47+1-$B$22&lt;=8),INDEX($C$27:$J$27,1,K$33-$S47+1-$B$22),0)*$U47*K$34</f>
        <v>0</v>
      </c>
      <c r="L47" s="22" t="n">
        <f aca="false">IF(AND(L$33-$S47+1-$B$22&gt;=1,L$33-$S47+1-$B$22&lt;=8),INDEX($C$27:$J$27,1,L$33-$S47+1-$B$22),0)*$U47*L$34</f>
        <v>0</v>
      </c>
      <c r="M47" s="22" t="n">
        <f aca="false">IF(AND(M$33-$S47+1-$B$22&gt;=1,M$33-$S47+1-$B$22&lt;=8),INDEX($C$27:$J$27,1,M$33-$S47+1-$B$22),0)*$U47*M$34</f>
        <v>0</v>
      </c>
      <c r="N47" s="22" t="n">
        <f aca="false">IF(AND(N$33-$S47+1-$B$22&gt;=1,N$33-$S47+1-$B$22&lt;=8),INDEX($C$27:$J$27,1,N$33-$S47+1-$B$22),0)*$U47*N$34</f>
        <v>0</v>
      </c>
      <c r="O47" s="22" t="n">
        <f aca="false">IF(AND(O$33-$S47+1-$B$22&gt;=1,O$33-$S47+1-$B$22&lt;=8),INDEX($C$27:$J$27,1,O$33-$S47+1-$B$22),0)*$U47*O$34</f>
        <v>0</v>
      </c>
      <c r="P47" s="22" t="n">
        <f aca="false">IF(AND(P$33-$S47+1-$B$22&gt;=1,P$33-$S47+1-$B$22&lt;=8),INDEX($C$27:$J$27,1,P$33-$S47+1-$B$22),0)*$U47*P$34</f>
        <v>0</v>
      </c>
      <c r="Q47" s="22" t="n">
        <f aca="false">IF(AND(Q$33-$S47+1-$B$22&gt;=1,Q$33-$S47+1-$B$22&lt;=8),INDEX($C$27:$J$27,1,Q$33-$S47+1-$B$22),0)*$U47*Q$34</f>
        <v>0</v>
      </c>
      <c r="S47" s="23" t="n">
        <f aca="false">$B$20+5</f>
        <v>2032</v>
      </c>
      <c r="T47" s="22" t="n">
        <f aca="false">IF($S47&gt;$B$20+Scenarios!$C$8-1,0,$B$19*(1+$B$21*Scenarios!$C$7)^5)</f>
        <v>0</v>
      </c>
      <c r="U47" s="24" t="n">
        <f aca="false">IFERROR($T47/INDEX($C$34:$Q$34,1,MATCH($S47,$C$33:$Q$33,0)),0)</f>
        <v>0</v>
      </c>
      <c r="V47" s="24" t="n">
        <f aca="false">SUMPRODUCT(($C$25:$J$25&lt;=$Q$33-$S47+1-$B$22)*$C$27:$J$27)*$U47</f>
        <v>0</v>
      </c>
      <c r="W47" s="24" t="n">
        <f aca="false">$U47-$V47</f>
        <v>0</v>
      </c>
    </row>
    <row r="48" customFormat="false" ht="15" hidden="false" customHeight="false" outlineLevel="0" collapsed="false">
      <c r="A48" s="2" t="s">
        <v>120</v>
      </c>
      <c r="C48" s="22" t="n">
        <f aca="false">IF(AND(C$33-$S48+1-$B$22&gt;=1,C$33-$S48+1-$B$22&lt;=8),INDEX($C$27:$J$27,1,C$33-$S48+1-$B$22),0)*$U48*C$34</f>
        <v>0</v>
      </c>
      <c r="D48" s="22" t="n">
        <f aca="false">IF(AND(D$33-$S48+1-$B$22&gt;=1,D$33-$S48+1-$B$22&lt;=8),INDEX($C$27:$J$27,1,D$33-$S48+1-$B$22),0)*$U48*D$34</f>
        <v>0</v>
      </c>
      <c r="E48" s="22" t="n">
        <f aca="false">IF(AND(E$33-$S48+1-$B$22&gt;=1,E$33-$S48+1-$B$22&lt;=8),INDEX($C$27:$J$27,1,E$33-$S48+1-$B$22),0)*$U48*E$34</f>
        <v>0</v>
      </c>
      <c r="F48" s="22" t="n">
        <f aca="false">IF(AND(F$33-$S48+1-$B$22&gt;=1,F$33-$S48+1-$B$22&lt;=8),INDEX($C$27:$J$27,1,F$33-$S48+1-$B$22),0)*$U48*F$34</f>
        <v>0</v>
      </c>
      <c r="G48" s="22" t="n">
        <f aca="false">IF(AND(G$33-$S48+1-$B$22&gt;=1,G$33-$S48+1-$B$22&lt;=8),INDEX($C$27:$J$27,1,G$33-$S48+1-$B$22),0)*$U48*G$34</f>
        <v>0</v>
      </c>
      <c r="H48" s="22" t="n">
        <f aca="false">IF(AND(H$33-$S48+1-$B$22&gt;=1,H$33-$S48+1-$B$22&lt;=8),INDEX($C$27:$J$27,1,H$33-$S48+1-$B$22),0)*$U48*H$34</f>
        <v>0</v>
      </c>
      <c r="I48" s="22" t="n">
        <f aca="false">IF(AND(I$33-$S48+1-$B$22&gt;=1,I$33-$S48+1-$B$22&lt;=8),INDEX($C$27:$J$27,1,I$33-$S48+1-$B$22),0)*$U48*I$34</f>
        <v>0</v>
      </c>
      <c r="J48" s="22" t="n">
        <f aca="false">IF(AND(J$33-$S48+1-$B$22&gt;=1,J$33-$S48+1-$B$22&lt;=8),INDEX($C$27:$J$27,1,J$33-$S48+1-$B$22),0)*$U48*J$34</f>
        <v>0</v>
      </c>
      <c r="K48" s="22" t="n">
        <f aca="false">IF(AND(K$33-$S48+1-$B$22&gt;=1,K$33-$S48+1-$B$22&lt;=8),INDEX($C$27:$J$27,1,K$33-$S48+1-$B$22),0)*$U48*K$34</f>
        <v>0</v>
      </c>
      <c r="L48" s="22" t="n">
        <f aca="false">IF(AND(L$33-$S48+1-$B$22&gt;=1,L$33-$S48+1-$B$22&lt;=8),INDEX($C$27:$J$27,1,L$33-$S48+1-$B$22),0)*$U48*L$34</f>
        <v>0</v>
      </c>
      <c r="M48" s="22" t="n">
        <f aca="false">IF(AND(M$33-$S48+1-$B$22&gt;=1,M$33-$S48+1-$B$22&lt;=8),INDEX($C$27:$J$27,1,M$33-$S48+1-$B$22),0)*$U48*M$34</f>
        <v>0</v>
      </c>
      <c r="N48" s="22" t="n">
        <f aca="false">IF(AND(N$33-$S48+1-$B$22&gt;=1,N$33-$S48+1-$B$22&lt;=8),INDEX($C$27:$J$27,1,N$33-$S48+1-$B$22),0)*$U48*N$34</f>
        <v>0</v>
      </c>
      <c r="O48" s="22" t="n">
        <f aca="false">IF(AND(O$33-$S48+1-$B$22&gt;=1,O$33-$S48+1-$B$22&lt;=8),INDEX($C$27:$J$27,1,O$33-$S48+1-$B$22),0)*$U48*O$34</f>
        <v>0</v>
      </c>
      <c r="P48" s="22" t="n">
        <f aca="false">IF(AND(P$33-$S48+1-$B$22&gt;=1,P$33-$S48+1-$B$22&lt;=8),INDEX($C$27:$J$27,1,P$33-$S48+1-$B$22),0)*$U48*P$34</f>
        <v>0</v>
      </c>
      <c r="Q48" s="22" t="n">
        <f aca="false">IF(AND(Q$33-$S48+1-$B$22&gt;=1,Q$33-$S48+1-$B$22&lt;=8),INDEX($C$27:$J$27,1,Q$33-$S48+1-$B$22),0)*$U48*Q$34</f>
        <v>0</v>
      </c>
      <c r="S48" s="23" t="n">
        <f aca="false">$B$20+6</f>
        <v>2033</v>
      </c>
      <c r="T48" s="22" t="n">
        <f aca="false">IF($S48&gt;$B$20+Scenarios!$C$8-1,0,$B$19*(1+$B$21*Scenarios!$C$7)^6)</f>
        <v>0</v>
      </c>
      <c r="U48" s="24" t="n">
        <f aca="false">IFERROR($T48/INDEX($C$34:$Q$34,1,MATCH($S48,$C$33:$Q$33,0)),0)</f>
        <v>0</v>
      </c>
      <c r="V48" s="24" t="n">
        <f aca="false">SUMPRODUCT(($C$25:$J$25&lt;=$Q$33-$S48+1-$B$22)*$C$27:$J$27)*$U48</f>
        <v>0</v>
      </c>
      <c r="W48" s="24" t="n">
        <f aca="false">$U48-$V48</f>
        <v>0</v>
      </c>
    </row>
    <row r="49" customFormat="false" ht="15" hidden="false" customHeight="false" outlineLevel="0" collapsed="false">
      <c r="A49" s="2" t="s">
        <v>121</v>
      </c>
      <c r="C49" s="22" t="n">
        <f aca="false">IF(AND(C$33-$S49+1-$B$22&gt;=1,C$33-$S49+1-$B$22&lt;=8),INDEX($C$27:$J$27,1,C$33-$S49+1-$B$22),0)*$U49*C$34</f>
        <v>0</v>
      </c>
      <c r="D49" s="22" t="n">
        <f aca="false">IF(AND(D$33-$S49+1-$B$22&gt;=1,D$33-$S49+1-$B$22&lt;=8),INDEX($C$27:$J$27,1,D$33-$S49+1-$B$22),0)*$U49*D$34</f>
        <v>0</v>
      </c>
      <c r="E49" s="22" t="n">
        <f aca="false">IF(AND(E$33-$S49+1-$B$22&gt;=1,E$33-$S49+1-$B$22&lt;=8),INDEX($C$27:$J$27,1,E$33-$S49+1-$B$22),0)*$U49*E$34</f>
        <v>0</v>
      </c>
      <c r="F49" s="22" t="n">
        <f aca="false">IF(AND(F$33-$S49+1-$B$22&gt;=1,F$33-$S49+1-$B$22&lt;=8),INDEX($C$27:$J$27,1,F$33-$S49+1-$B$22),0)*$U49*F$34</f>
        <v>0</v>
      </c>
      <c r="G49" s="22" t="n">
        <f aca="false">IF(AND(G$33-$S49+1-$B$22&gt;=1,G$33-$S49+1-$B$22&lt;=8),INDEX($C$27:$J$27,1,G$33-$S49+1-$B$22),0)*$U49*G$34</f>
        <v>0</v>
      </c>
      <c r="H49" s="22" t="n">
        <f aca="false">IF(AND(H$33-$S49+1-$B$22&gt;=1,H$33-$S49+1-$B$22&lt;=8),INDEX($C$27:$J$27,1,H$33-$S49+1-$B$22),0)*$U49*H$34</f>
        <v>0</v>
      </c>
      <c r="I49" s="22" t="n">
        <f aca="false">IF(AND(I$33-$S49+1-$B$22&gt;=1,I$33-$S49+1-$B$22&lt;=8),INDEX($C$27:$J$27,1,I$33-$S49+1-$B$22),0)*$U49*I$34</f>
        <v>0</v>
      </c>
      <c r="J49" s="22" t="n">
        <f aca="false">IF(AND(J$33-$S49+1-$B$22&gt;=1,J$33-$S49+1-$B$22&lt;=8),INDEX($C$27:$J$27,1,J$33-$S49+1-$B$22),0)*$U49*J$34</f>
        <v>0</v>
      </c>
      <c r="K49" s="22" t="n">
        <f aca="false">IF(AND(K$33-$S49+1-$B$22&gt;=1,K$33-$S49+1-$B$22&lt;=8),INDEX($C$27:$J$27,1,K$33-$S49+1-$B$22),0)*$U49*K$34</f>
        <v>0</v>
      </c>
      <c r="L49" s="22" t="n">
        <f aca="false">IF(AND(L$33-$S49+1-$B$22&gt;=1,L$33-$S49+1-$B$22&lt;=8),INDEX($C$27:$J$27,1,L$33-$S49+1-$B$22),0)*$U49*L$34</f>
        <v>0</v>
      </c>
      <c r="M49" s="22" t="n">
        <f aca="false">IF(AND(M$33-$S49+1-$B$22&gt;=1,M$33-$S49+1-$B$22&lt;=8),INDEX($C$27:$J$27,1,M$33-$S49+1-$B$22),0)*$U49*M$34</f>
        <v>0</v>
      </c>
      <c r="N49" s="22" t="n">
        <f aca="false">IF(AND(N$33-$S49+1-$B$22&gt;=1,N$33-$S49+1-$B$22&lt;=8),INDEX($C$27:$J$27,1,N$33-$S49+1-$B$22),0)*$U49*N$34</f>
        <v>0</v>
      </c>
      <c r="O49" s="22" t="n">
        <f aca="false">IF(AND(O$33-$S49+1-$B$22&gt;=1,O$33-$S49+1-$B$22&lt;=8),INDEX($C$27:$J$27,1,O$33-$S49+1-$B$22),0)*$U49*O$34</f>
        <v>0</v>
      </c>
      <c r="P49" s="22" t="n">
        <f aca="false">IF(AND(P$33-$S49+1-$B$22&gt;=1,P$33-$S49+1-$B$22&lt;=8),INDEX($C$27:$J$27,1,P$33-$S49+1-$B$22),0)*$U49*P$34</f>
        <v>0</v>
      </c>
      <c r="Q49" s="22" t="n">
        <f aca="false">IF(AND(Q$33-$S49+1-$B$22&gt;=1,Q$33-$S49+1-$B$22&lt;=8),INDEX($C$27:$J$27,1,Q$33-$S49+1-$B$22),0)*$U49*Q$34</f>
        <v>0</v>
      </c>
      <c r="S49" s="23" t="n">
        <f aca="false">$B$20+7</f>
        <v>2034</v>
      </c>
      <c r="T49" s="22" t="n">
        <f aca="false">IF($S49&gt;$B$20+Scenarios!$C$8-1,0,$B$19*(1+$B$21*Scenarios!$C$7)^7)</f>
        <v>0</v>
      </c>
      <c r="U49" s="24" t="n">
        <f aca="false">IFERROR($T49/INDEX($C$34:$Q$34,1,MATCH($S49,$C$33:$Q$33,0)),0)</f>
        <v>0</v>
      </c>
      <c r="V49" s="24" t="n">
        <f aca="false">SUMPRODUCT(($C$25:$J$25&lt;=$Q$33-$S49+1-$B$22)*$C$27:$J$27)*$U49</f>
        <v>0</v>
      </c>
      <c r="W49" s="24" t="n">
        <f aca="false">$U49-$V49</f>
        <v>0</v>
      </c>
    </row>
    <row r="50" customFormat="false" ht="15" hidden="false" customHeight="false" outlineLevel="0" collapsed="false">
      <c r="A50" s="2" t="s">
        <v>122</v>
      </c>
      <c r="C50" s="22" t="n">
        <f aca="false">IF(AND(C$33-$S50+1-$B$22&gt;=1,C$33-$S50+1-$B$22&lt;=8),INDEX($C$27:$J$27,1,C$33-$S50+1-$B$22),0)*$U50*C$34</f>
        <v>0</v>
      </c>
      <c r="D50" s="22" t="n">
        <f aca="false">IF(AND(D$33-$S50+1-$B$22&gt;=1,D$33-$S50+1-$B$22&lt;=8),INDEX($C$27:$J$27,1,D$33-$S50+1-$B$22),0)*$U50*D$34</f>
        <v>0</v>
      </c>
      <c r="E50" s="22" t="n">
        <f aca="false">IF(AND(E$33-$S50+1-$B$22&gt;=1,E$33-$S50+1-$B$22&lt;=8),INDEX($C$27:$J$27,1,E$33-$S50+1-$B$22),0)*$U50*E$34</f>
        <v>0</v>
      </c>
      <c r="F50" s="22" t="n">
        <f aca="false">IF(AND(F$33-$S50+1-$B$22&gt;=1,F$33-$S50+1-$B$22&lt;=8),INDEX($C$27:$J$27,1,F$33-$S50+1-$B$22),0)*$U50*F$34</f>
        <v>0</v>
      </c>
      <c r="G50" s="22" t="n">
        <f aca="false">IF(AND(G$33-$S50+1-$B$22&gt;=1,G$33-$S50+1-$B$22&lt;=8),INDEX($C$27:$J$27,1,G$33-$S50+1-$B$22),0)*$U50*G$34</f>
        <v>0</v>
      </c>
      <c r="H50" s="22" t="n">
        <f aca="false">IF(AND(H$33-$S50+1-$B$22&gt;=1,H$33-$S50+1-$B$22&lt;=8),INDEX($C$27:$J$27,1,H$33-$S50+1-$B$22),0)*$U50*H$34</f>
        <v>0</v>
      </c>
      <c r="I50" s="22" t="n">
        <f aca="false">IF(AND(I$33-$S50+1-$B$22&gt;=1,I$33-$S50+1-$B$22&lt;=8),INDEX($C$27:$J$27,1,I$33-$S50+1-$B$22),0)*$U50*I$34</f>
        <v>0</v>
      </c>
      <c r="J50" s="22" t="n">
        <f aca="false">IF(AND(J$33-$S50+1-$B$22&gt;=1,J$33-$S50+1-$B$22&lt;=8),INDEX($C$27:$J$27,1,J$33-$S50+1-$B$22),0)*$U50*J$34</f>
        <v>0</v>
      </c>
      <c r="K50" s="22" t="n">
        <f aca="false">IF(AND(K$33-$S50+1-$B$22&gt;=1,K$33-$S50+1-$B$22&lt;=8),INDEX($C$27:$J$27,1,K$33-$S50+1-$B$22),0)*$U50*K$34</f>
        <v>0</v>
      </c>
      <c r="L50" s="22" t="n">
        <f aca="false">IF(AND(L$33-$S50+1-$B$22&gt;=1,L$33-$S50+1-$B$22&lt;=8),INDEX($C$27:$J$27,1,L$33-$S50+1-$B$22),0)*$U50*L$34</f>
        <v>0</v>
      </c>
      <c r="M50" s="22" t="n">
        <f aca="false">IF(AND(M$33-$S50+1-$B$22&gt;=1,M$33-$S50+1-$B$22&lt;=8),INDEX($C$27:$J$27,1,M$33-$S50+1-$B$22),0)*$U50*M$34</f>
        <v>0</v>
      </c>
      <c r="N50" s="22" t="n">
        <f aca="false">IF(AND(N$33-$S50+1-$B$22&gt;=1,N$33-$S50+1-$B$22&lt;=8),INDEX($C$27:$J$27,1,N$33-$S50+1-$B$22),0)*$U50*N$34</f>
        <v>0</v>
      </c>
      <c r="O50" s="22" t="n">
        <f aca="false">IF(AND(O$33-$S50+1-$B$22&gt;=1,O$33-$S50+1-$B$22&lt;=8),INDEX($C$27:$J$27,1,O$33-$S50+1-$B$22),0)*$U50*O$34</f>
        <v>0</v>
      </c>
      <c r="P50" s="22" t="n">
        <f aca="false">IF(AND(P$33-$S50+1-$B$22&gt;=1,P$33-$S50+1-$B$22&lt;=8),INDEX($C$27:$J$27,1,P$33-$S50+1-$B$22),0)*$U50*P$34</f>
        <v>0</v>
      </c>
      <c r="Q50" s="22" t="n">
        <f aca="false">IF(AND(Q$33-$S50+1-$B$22&gt;=1,Q$33-$S50+1-$B$22&lt;=8),INDEX($C$27:$J$27,1,Q$33-$S50+1-$B$22),0)*$U50*Q$34</f>
        <v>0</v>
      </c>
      <c r="S50" s="23" t="n">
        <f aca="false">$B$20+8</f>
        <v>2035</v>
      </c>
      <c r="T50" s="22" t="n">
        <f aca="false">IF($S50&gt;$B$20+Scenarios!$C$8-1,0,$B$19*(1+$B$21*Scenarios!$C$7)^8)</f>
        <v>0</v>
      </c>
      <c r="U50" s="24" t="n">
        <f aca="false">IFERROR($T50/INDEX($C$34:$Q$34,1,MATCH($S50,$C$33:$Q$33,0)),0)</f>
        <v>0</v>
      </c>
      <c r="V50" s="24" t="n">
        <f aca="false">SUMPRODUCT(($C$25:$J$25&lt;=$Q$33-$S50+1-$B$22)*$C$27:$J$27)*$U50</f>
        <v>0</v>
      </c>
      <c r="W50" s="24" t="n">
        <f aca="false">$U50-$V50</f>
        <v>0</v>
      </c>
    </row>
    <row r="51" customFormat="false" ht="15" hidden="false" customHeight="false" outlineLevel="0" collapsed="false">
      <c r="A51" s="2" t="s">
        <v>123</v>
      </c>
      <c r="C51" s="22" t="n">
        <f aca="false">IF(AND(C$33-$S51+1-$B$22&gt;=1,C$33-$S51+1-$B$22&lt;=8),INDEX($C$27:$J$27,1,C$33-$S51+1-$B$22),0)*$U51*C$34</f>
        <v>0</v>
      </c>
      <c r="D51" s="22" t="n">
        <f aca="false">IF(AND(D$33-$S51+1-$B$22&gt;=1,D$33-$S51+1-$B$22&lt;=8),INDEX($C$27:$J$27,1,D$33-$S51+1-$B$22),0)*$U51*D$34</f>
        <v>0</v>
      </c>
      <c r="E51" s="22" t="n">
        <f aca="false">IF(AND(E$33-$S51+1-$B$22&gt;=1,E$33-$S51+1-$B$22&lt;=8),INDEX($C$27:$J$27,1,E$33-$S51+1-$B$22),0)*$U51*E$34</f>
        <v>0</v>
      </c>
      <c r="F51" s="22" t="n">
        <f aca="false">IF(AND(F$33-$S51+1-$B$22&gt;=1,F$33-$S51+1-$B$22&lt;=8),INDEX($C$27:$J$27,1,F$33-$S51+1-$B$22),0)*$U51*F$34</f>
        <v>0</v>
      </c>
      <c r="G51" s="22" t="n">
        <f aca="false">IF(AND(G$33-$S51+1-$B$22&gt;=1,G$33-$S51+1-$B$22&lt;=8),INDEX($C$27:$J$27,1,G$33-$S51+1-$B$22),0)*$U51*G$34</f>
        <v>0</v>
      </c>
      <c r="H51" s="22" t="n">
        <f aca="false">IF(AND(H$33-$S51+1-$B$22&gt;=1,H$33-$S51+1-$B$22&lt;=8),INDEX($C$27:$J$27,1,H$33-$S51+1-$B$22),0)*$U51*H$34</f>
        <v>0</v>
      </c>
      <c r="I51" s="22" t="n">
        <f aca="false">IF(AND(I$33-$S51+1-$B$22&gt;=1,I$33-$S51+1-$B$22&lt;=8),INDEX($C$27:$J$27,1,I$33-$S51+1-$B$22),0)*$U51*I$34</f>
        <v>0</v>
      </c>
      <c r="J51" s="22" t="n">
        <f aca="false">IF(AND(J$33-$S51+1-$B$22&gt;=1,J$33-$S51+1-$B$22&lt;=8),INDEX($C$27:$J$27,1,J$33-$S51+1-$B$22),0)*$U51*J$34</f>
        <v>0</v>
      </c>
      <c r="K51" s="22" t="n">
        <f aca="false">IF(AND(K$33-$S51+1-$B$22&gt;=1,K$33-$S51+1-$B$22&lt;=8),INDEX($C$27:$J$27,1,K$33-$S51+1-$B$22),0)*$U51*K$34</f>
        <v>0</v>
      </c>
      <c r="L51" s="22" t="n">
        <f aca="false">IF(AND(L$33-$S51+1-$B$22&gt;=1,L$33-$S51+1-$B$22&lt;=8),INDEX($C$27:$J$27,1,L$33-$S51+1-$B$22),0)*$U51*L$34</f>
        <v>0</v>
      </c>
      <c r="M51" s="22" t="n">
        <f aca="false">IF(AND(M$33-$S51+1-$B$22&gt;=1,M$33-$S51+1-$B$22&lt;=8),INDEX($C$27:$J$27,1,M$33-$S51+1-$B$22),0)*$U51*M$34</f>
        <v>0</v>
      </c>
      <c r="N51" s="22" t="n">
        <f aca="false">IF(AND(N$33-$S51+1-$B$22&gt;=1,N$33-$S51+1-$B$22&lt;=8),INDEX($C$27:$J$27,1,N$33-$S51+1-$B$22),0)*$U51*N$34</f>
        <v>0</v>
      </c>
      <c r="O51" s="22" t="n">
        <f aca="false">IF(AND(O$33-$S51+1-$B$22&gt;=1,O$33-$S51+1-$B$22&lt;=8),INDEX($C$27:$J$27,1,O$33-$S51+1-$B$22),0)*$U51*O$34</f>
        <v>0</v>
      </c>
      <c r="P51" s="22" t="n">
        <f aca="false">IF(AND(P$33-$S51+1-$B$22&gt;=1,P$33-$S51+1-$B$22&lt;=8),INDEX($C$27:$J$27,1,P$33-$S51+1-$B$22),0)*$U51*P$34</f>
        <v>0</v>
      </c>
      <c r="Q51" s="22" t="n">
        <f aca="false">IF(AND(Q$33-$S51+1-$B$22&gt;=1,Q$33-$S51+1-$B$22&lt;=8),INDEX($C$27:$J$27,1,Q$33-$S51+1-$B$22),0)*$U51*Q$34</f>
        <v>0</v>
      </c>
      <c r="S51" s="23" t="n">
        <f aca="false">$B$20+9</f>
        <v>2036</v>
      </c>
      <c r="T51" s="22" t="n">
        <f aca="false">IF($S51&gt;$B$20+Scenarios!$C$8-1,0,$B$19*(1+$B$21*Scenarios!$C$7)^9)</f>
        <v>0</v>
      </c>
      <c r="U51" s="24" t="n">
        <f aca="false">IFERROR($T51/INDEX($C$34:$Q$34,1,MATCH($S51,$C$33:$Q$33,0)),0)</f>
        <v>0</v>
      </c>
      <c r="V51" s="24" t="n">
        <f aca="false">SUMPRODUCT(($C$25:$J$25&lt;=$Q$33-$S51+1-$B$22)*$C$27:$J$27)*$U51</f>
        <v>0</v>
      </c>
      <c r="W51" s="24" t="n">
        <f aca="false">$U51-$V51</f>
        <v>0</v>
      </c>
    </row>
    <row r="52" customFormat="false" ht="15" hidden="false" customHeight="false" outlineLevel="0" collapsed="false">
      <c r="A52" s="2" t="s">
        <v>124</v>
      </c>
      <c r="C52" s="22" t="n">
        <f aca="false">IF(AND(C$33-$S52+1-$B$22&gt;=1,C$33-$S52+1-$B$22&lt;=8),INDEX($C$27:$J$27,1,C$33-$S52+1-$B$22),0)*$U52*C$34</f>
        <v>0</v>
      </c>
      <c r="D52" s="22" t="n">
        <f aca="false">IF(AND(D$33-$S52+1-$B$22&gt;=1,D$33-$S52+1-$B$22&lt;=8),INDEX($C$27:$J$27,1,D$33-$S52+1-$B$22),0)*$U52*D$34</f>
        <v>0</v>
      </c>
      <c r="E52" s="22" t="n">
        <f aca="false">IF(AND(E$33-$S52+1-$B$22&gt;=1,E$33-$S52+1-$B$22&lt;=8),INDEX($C$27:$J$27,1,E$33-$S52+1-$B$22),0)*$U52*E$34</f>
        <v>0</v>
      </c>
      <c r="F52" s="22" t="n">
        <f aca="false">IF(AND(F$33-$S52+1-$B$22&gt;=1,F$33-$S52+1-$B$22&lt;=8),INDEX($C$27:$J$27,1,F$33-$S52+1-$B$22),0)*$U52*F$34</f>
        <v>0</v>
      </c>
      <c r="G52" s="22" t="n">
        <f aca="false">IF(AND(G$33-$S52+1-$B$22&gt;=1,G$33-$S52+1-$B$22&lt;=8),INDEX($C$27:$J$27,1,G$33-$S52+1-$B$22),0)*$U52*G$34</f>
        <v>0</v>
      </c>
      <c r="H52" s="22" t="n">
        <f aca="false">IF(AND(H$33-$S52+1-$B$22&gt;=1,H$33-$S52+1-$B$22&lt;=8),INDEX($C$27:$J$27,1,H$33-$S52+1-$B$22),0)*$U52*H$34</f>
        <v>0</v>
      </c>
      <c r="I52" s="22" t="n">
        <f aca="false">IF(AND(I$33-$S52+1-$B$22&gt;=1,I$33-$S52+1-$B$22&lt;=8),INDEX($C$27:$J$27,1,I$33-$S52+1-$B$22),0)*$U52*I$34</f>
        <v>0</v>
      </c>
      <c r="J52" s="22" t="n">
        <f aca="false">IF(AND(J$33-$S52+1-$B$22&gt;=1,J$33-$S52+1-$B$22&lt;=8),INDEX($C$27:$J$27,1,J$33-$S52+1-$B$22),0)*$U52*J$34</f>
        <v>0</v>
      </c>
      <c r="K52" s="22" t="n">
        <f aca="false">IF(AND(K$33-$S52+1-$B$22&gt;=1,K$33-$S52+1-$B$22&lt;=8),INDEX($C$27:$J$27,1,K$33-$S52+1-$B$22),0)*$U52*K$34</f>
        <v>0</v>
      </c>
      <c r="L52" s="22" t="n">
        <f aca="false">IF(AND(L$33-$S52+1-$B$22&gt;=1,L$33-$S52+1-$B$22&lt;=8),INDEX($C$27:$J$27,1,L$33-$S52+1-$B$22),0)*$U52*L$34</f>
        <v>0</v>
      </c>
      <c r="M52" s="22" t="n">
        <f aca="false">IF(AND(M$33-$S52+1-$B$22&gt;=1,M$33-$S52+1-$B$22&lt;=8),INDEX($C$27:$J$27,1,M$33-$S52+1-$B$22),0)*$U52*M$34</f>
        <v>0</v>
      </c>
      <c r="N52" s="22" t="n">
        <f aca="false">IF(AND(N$33-$S52+1-$B$22&gt;=1,N$33-$S52+1-$B$22&lt;=8),INDEX($C$27:$J$27,1,N$33-$S52+1-$B$22),0)*$U52*N$34</f>
        <v>0</v>
      </c>
      <c r="O52" s="22" t="n">
        <f aca="false">IF(AND(O$33-$S52+1-$B$22&gt;=1,O$33-$S52+1-$B$22&lt;=8),INDEX($C$27:$J$27,1,O$33-$S52+1-$B$22),0)*$U52*O$34</f>
        <v>0</v>
      </c>
      <c r="P52" s="22" t="n">
        <f aca="false">IF(AND(P$33-$S52+1-$B$22&gt;=1,P$33-$S52+1-$B$22&lt;=8),INDEX($C$27:$J$27,1,P$33-$S52+1-$B$22),0)*$U52*P$34</f>
        <v>0</v>
      </c>
      <c r="Q52" s="22" t="n">
        <f aca="false">IF(AND(Q$33-$S52+1-$B$22&gt;=1,Q$33-$S52+1-$B$22&lt;=8),INDEX($C$27:$J$27,1,Q$33-$S52+1-$B$22),0)*$U52*Q$34</f>
        <v>0</v>
      </c>
      <c r="S52" s="23" t="n">
        <f aca="false">$B$20+10</f>
        <v>2037</v>
      </c>
      <c r="T52" s="22" t="n">
        <f aca="false">IF($S52&gt;$B$20+Scenarios!$C$8-1,0,$B$19*(1+$B$21*Scenarios!$C$7)^10)</f>
        <v>0</v>
      </c>
      <c r="U52" s="24" t="n">
        <f aca="false">IFERROR($T52/INDEX($C$34:$Q$34,1,MATCH($S52,$C$33:$Q$33,0)),0)</f>
        <v>0</v>
      </c>
      <c r="V52" s="24" t="n">
        <f aca="false">SUMPRODUCT(($C$25:$J$25&lt;=$Q$33-$S52+1-$B$22)*$C$27:$J$27)*$U52</f>
        <v>0</v>
      </c>
      <c r="W52" s="24" t="n">
        <f aca="false">$U52-$V52</f>
        <v>0</v>
      </c>
    </row>
    <row r="53" customFormat="false" ht="15" hidden="false" customHeight="false" outlineLevel="0" collapsed="false">
      <c r="A53" s="2" t="s">
        <v>125</v>
      </c>
      <c r="C53" s="22" t="n">
        <f aca="false">IF(AND(C$33-$S53+1-$B$22&gt;=1,C$33-$S53+1-$B$22&lt;=8),INDEX($C$27:$J$27,1,C$33-$S53+1-$B$22),0)*$U53*C$34</f>
        <v>0</v>
      </c>
      <c r="D53" s="22" t="n">
        <f aca="false">IF(AND(D$33-$S53+1-$B$22&gt;=1,D$33-$S53+1-$B$22&lt;=8),INDEX($C$27:$J$27,1,D$33-$S53+1-$B$22),0)*$U53*D$34</f>
        <v>0</v>
      </c>
      <c r="E53" s="22" t="n">
        <f aca="false">IF(AND(E$33-$S53+1-$B$22&gt;=1,E$33-$S53+1-$B$22&lt;=8),INDEX($C$27:$J$27,1,E$33-$S53+1-$B$22),0)*$U53*E$34</f>
        <v>0</v>
      </c>
      <c r="F53" s="22" t="n">
        <f aca="false">IF(AND(F$33-$S53+1-$B$22&gt;=1,F$33-$S53+1-$B$22&lt;=8),INDEX($C$27:$J$27,1,F$33-$S53+1-$B$22),0)*$U53*F$34</f>
        <v>0</v>
      </c>
      <c r="G53" s="22" t="n">
        <f aca="false">IF(AND(G$33-$S53+1-$B$22&gt;=1,G$33-$S53+1-$B$22&lt;=8),INDEX($C$27:$J$27,1,G$33-$S53+1-$B$22),0)*$U53*G$34</f>
        <v>0</v>
      </c>
      <c r="H53" s="22" t="n">
        <f aca="false">IF(AND(H$33-$S53+1-$B$22&gt;=1,H$33-$S53+1-$B$22&lt;=8),INDEX($C$27:$J$27,1,H$33-$S53+1-$B$22),0)*$U53*H$34</f>
        <v>0</v>
      </c>
      <c r="I53" s="22" t="n">
        <f aca="false">IF(AND(I$33-$S53+1-$B$22&gt;=1,I$33-$S53+1-$B$22&lt;=8),INDEX($C$27:$J$27,1,I$33-$S53+1-$B$22),0)*$U53*I$34</f>
        <v>0</v>
      </c>
      <c r="J53" s="22" t="n">
        <f aca="false">IF(AND(J$33-$S53+1-$B$22&gt;=1,J$33-$S53+1-$B$22&lt;=8),INDEX($C$27:$J$27,1,J$33-$S53+1-$B$22),0)*$U53*J$34</f>
        <v>0</v>
      </c>
      <c r="K53" s="22" t="n">
        <f aca="false">IF(AND(K$33-$S53+1-$B$22&gt;=1,K$33-$S53+1-$B$22&lt;=8),INDEX($C$27:$J$27,1,K$33-$S53+1-$B$22),0)*$U53*K$34</f>
        <v>0</v>
      </c>
      <c r="L53" s="22" t="n">
        <f aca="false">IF(AND(L$33-$S53+1-$B$22&gt;=1,L$33-$S53+1-$B$22&lt;=8),INDEX($C$27:$J$27,1,L$33-$S53+1-$B$22),0)*$U53*L$34</f>
        <v>0</v>
      </c>
      <c r="M53" s="22" t="n">
        <f aca="false">IF(AND(M$33-$S53+1-$B$22&gt;=1,M$33-$S53+1-$B$22&lt;=8),INDEX($C$27:$J$27,1,M$33-$S53+1-$B$22),0)*$U53*M$34</f>
        <v>0</v>
      </c>
      <c r="N53" s="22" t="n">
        <f aca="false">IF(AND(N$33-$S53+1-$B$22&gt;=1,N$33-$S53+1-$B$22&lt;=8),INDEX($C$27:$J$27,1,N$33-$S53+1-$B$22),0)*$U53*N$34</f>
        <v>0</v>
      </c>
      <c r="O53" s="22" t="n">
        <f aca="false">IF(AND(O$33-$S53+1-$B$22&gt;=1,O$33-$S53+1-$B$22&lt;=8),INDEX($C$27:$J$27,1,O$33-$S53+1-$B$22),0)*$U53*O$34</f>
        <v>0</v>
      </c>
      <c r="P53" s="22" t="n">
        <f aca="false">IF(AND(P$33-$S53+1-$B$22&gt;=1,P$33-$S53+1-$B$22&lt;=8),INDEX($C$27:$J$27,1,P$33-$S53+1-$B$22),0)*$U53*P$34</f>
        <v>0</v>
      </c>
      <c r="Q53" s="22" t="n">
        <f aca="false">IF(AND(Q$33-$S53+1-$B$22&gt;=1,Q$33-$S53+1-$B$22&lt;=8),INDEX($C$27:$J$27,1,Q$33-$S53+1-$B$22),0)*$U53*Q$34</f>
        <v>0</v>
      </c>
      <c r="S53" s="23" t="n">
        <f aca="false">$B$20+11</f>
        <v>2038</v>
      </c>
      <c r="T53" s="22" t="n">
        <f aca="false">IF($S53&gt;$B$20+Scenarios!$C$8-1,0,$B$19*(1+$B$21*Scenarios!$C$7)^11)</f>
        <v>0</v>
      </c>
      <c r="U53" s="24" t="n">
        <f aca="false">IFERROR($T53/INDEX($C$34:$Q$34,1,MATCH($S53,$C$33:$Q$33,0)),0)</f>
        <v>0</v>
      </c>
      <c r="V53" s="24" t="n">
        <f aca="false">SUMPRODUCT(($C$25:$J$25&lt;=$Q$33-$S53+1-$B$22)*$C$27:$J$27)*$U53</f>
        <v>0</v>
      </c>
      <c r="W53" s="24" t="n">
        <f aca="false">$U53-$V53</f>
        <v>0</v>
      </c>
    </row>
    <row r="55" customFormat="false" ht="15" hidden="false" customHeight="false" outlineLevel="0" collapsed="false">
      <c r="A55" s="2" t="s">
        <v>126</v>
      </c>
      <c r="C55" s="22" t="n">
        <f aca="false">C41</f>
        <v>0</v>
      </c>
      <c r="D55" s="22" t="n">
        <f aca="false">D41</f>
        <v>160000</v>
      </c>
      <c r="E55" s="22" t="n">
        <f aca="false">E41</f>
        <v>112000</v>
      </c>
      <c r="F55" s="22" t="n">
        <f aca="false">F41</f>
        <v>80000</v>
      </c>
      <c r="G55" s="22" t="n">
        <f aca="false">G41</f>
        <v>48000</v>
      </c>
      <c r="H55" s="22" t="n">
        <f aca="false">H41</f>
        <v>0</v>
      </c>
      <c r="I55" s="22" t="n">
        <f aca="false">I41</f>
        <v>0</v>
      </c>
      <c r="J55" s="22" t="n">
        <f aca="false">J41</f>
        <v>0</v>
      </c>
      <c r="K55" s="22" t="n">
        <f aca="false">K41</f>
        <v>0</v>
      </c>
      <c r="L55" s="22" t="n">
        <f aca="false">L41</f>
        <v>0</v>
      </c>
      <c r="M55" s="22" t="n">
        <f aca="false">M41</f>
        <v>0</v>
      </c>
      <c r="N55" s="22" t="n">
        <f aca="false">N41</f>
        <v>0</v>
      </c>
      <c r="O55" s="22" t="n">
        <f aca="false">O41</f>
        <v>0</v>
      </c>
      <c r="P55" s="22" t="n">
        <f aca="false">P41</f>
        <v>0</v>
      </c>
      <c r="Q55" s="22" t="n">
        <f aca="false">Q41</f>
        <v>0</v>
      </c>
    </row>
    <row r="56" customFormat="false" ht="15" hidden="false" customHeight="false" outlineLevel="0" collapsed="false">
      <c r="A56" s="2" t="s">
        <v>127</v>
      </c>
      <c r="C56" s="22" t="n">
        <f aca="false">SUM(C42:C53)</f>
        <v>0</v>
      </c>
      <c r="D56" s="22" t="n">
        <f aca="false">SUM(D42:D53)</f>
        <v>0</v>
      </c>
      <c r="E56" s="22" t="n">
        <f aca="false">SUM(E42:E53)</f>
        <v>37500</v>
      </c>
      <c r="F56" s="22" t="n">
        <f aca="false">SUM(F42:F53)</f>
        <v>75000</v>
      </c>
      <c r="G56" s="22" t="n">
        <f aca="false">SUM(G42:G53)</f>
        <v>112500</v>
      </c>
      <c r="H56" s="22" t="n">
        <f aca="false">SUM(H42:H53)</f>
        <v>150000</v>
      </c>
      <c r="I56" s="22" t="n">
        <f aca="false">SUM(I42:I53)</f>
        <v>112500</v>
      </c>
      <c r="J56" s="22" t="n">
        <f aca="false">SUM(J42:J53)</f>
        <v>75000</v>
      </c>
      <c r="K56" s="22" t="n">
        <f aca="false">SUM(K42:K53)</f>
        <v>37500</v>
      </c>
      <c r="L56" s="22" t="n">
        <f aca="false">SUM(L42:L53)</f>
        <v>0</v>
      </c>
      <c r="M56" s="22" t="n">
        <f aca="false">SUM(M42:M53)</f>
        <v>0</v>
      </c>
      <c r="N56" s="22" t="n">
        <f aca="false">SUM(N42:N53)</f>
        <v>0</v>
      </c>
      <c r="O56" s="22" t="n">
        <f aca="false">SUM(O42:O53)</f>
        <v>0</v>
      </c>
      <c r="P56" s="22" t="n">
        <f aca="false">SUM(P42:P53)</f>
        <v>0</v>
      </c>
      <c r="Q56" s="22" t="n">
        <f aca="false">SUM(Q42:Q53)</f>
        <v>0</v>
      </c>
    </row>
    <row r="57" customFormat="false" ht="15" hidden="false" customHeight="false" outlineLevel="0" collapsed="false">
      <c r="A57" s="3" t="s">
        <v>128</v>
      </c>
      <c r="C57" s="25" t="n">
        <f aca="false">C55+C56</f>
        <v>0</v>
      </c>
      <c r="D57" s="25" t="n">
        <f aca="false">D55+D56</f>
        <v>160000</v>
      </c>
      <c r="E57" s="25" t="n">
        <f aca="false">E55+E56</f>
        <v>149500</v>
      </c>
      <c r="F57" s="25" t="n">
        <f aca="false">F55+F56</f>
        <v>155000</v>
      </c>
      <c r="G57" s="25" t="n">
        <f aca="false">G55+G56</f>
        <v>160500</v>
      </c>
      <c r="H57" s="25" t="n">
        <f aca="false">H55+H56</f>
        <v>150000</v>
      </c>
      <c r="I57" s="25" t="n">
        <f aca="false">I55+I56</f>
        <v>112500</v>
      </c>
      <c r="J57" s="25" t="n">
        <f aca="false">J55+J56</f>
        <v>75000</v>
      </c>
      <c r="K57" s="25" t="n">
        <f aca="false">K55+K56</f>
        <v>37500</v>
      </c>
      <c r="L57" s="25" t="n">
        <f aca="false">L55+L56</f>
        <v>0</v>
      </c>
      <c r="M57" s="25" t="n">
        <f aca="false">M55+M56</f>
        <v>0</v>
      </c>
      <c r="N57" s="25" t="n">
        <f aca="false">N55+N56</f>
        <v>0</v>
      </c>
      <c r="O57" s="25" t="n">
        <f aca="false">O55+O56</f>
        <v>0</v>
      </c>
      <c r="P57" s="25" t="n">
        <f aca="false">P55+P56</f>
        <v>0</v>
      </c>
      <c r="Q57" s="25" t="n">
        <f aca="false">Q55+Q56</f>
        <v>0</v>
      </c>
    </row>
    <row r="58" customFormat="false" ht="15" hidden="false" customHeight="false" outlineLevel="0" collapsed="false">
      <c r="A58" s="2" t="s">
        <v>129</v>
      </c>
      <c r="C58" s="23" t="n">
        <f aca="false">SUMPRODUCT((C41:C53&gt;0)*1)</f>
        <v>0</v>
      </c>
      <c r="D58" s="23" t="n">
        <f aca="false">SUMPRODUCT((D41:D53&gt;0)*1)</f>
        <v>1</v>
      </c>
      <c r="E58" s="23" t="n">
        <f aca="false">SUMPRODUCT((E41:E53&gt;0)*1)</f>
        <v>2</v>
      </c>
      <c r="F58" s="23" t="n">
        <f aca="false">SUMPRODUCT((F41:F53&gt;0)*1)</f>
        <v>3</v>
      </c>
      <c r="G58" s="23" t="n">
        <f aca="false">SUMPRODUCT((G41:G53&gt;0)*1)</f>
        <v>4</v>
      </c>
      <c r="H58" s="23" t="n">
        <f aca="false">SUMPRODUCT((H41:H53&gt;0)*1)</f>
        <v>4</v>
      </c>
      <c r="I58" s="23" t="n">
        <f aca="false">SUMPRODUCT((I41:I53&gt;0)*1)</f>
        <v>3</v>
      </c>
      <c r="J58" s="23" t="n">
        <f aca="false">SUMPRODUCT((J41:J53&gt;0)*1)</f>
        <v>2</v>
      </c>
      <c r="K58" s="23" t="n">
        <f aca="false">SUMPRODUCT((K41:K53&gt;0)*1)</f>
        <v>1</v>
      </c>
      <c r="L58" s="23" t="n">
        <f aca="false">SUMPRODUCT((L41:L53&gt;0)*1)</f>
        <v>0</v>
      </c>
      <c r="M58" s="23" t="n">
        <f aca="false">SUMPRODUCT((M41:M53&gt;0)*1)</f>
        <v>0</v>
      </c>
      <c r="N58" s="23" t="n">
        <f aca="false">SUMPRODUCT((N41:N53&gt;0)*1)</f>
        <v>0</v>
      </c>
      <c r="O58" s="23" t="n">
        <f aca="false">SUMPRODUCT((O41:O53&gt;0)*1)</f>
        <v>0</v>
      </c>
      <c r="P58" s="23" t="n">
        <f aca="false">SUMPRODUCT((P41:P53&gt;0)*1)</f>
        <v>0</v>
      </c>
      <c r="Q58" s="23" t="n">
        <f aca="false">SUMPRODUCT((Q41:Q53&gt;0)*1)</f>
        <v>0</v>
      </c>
    </row>
    <row r="60" customFormat="false" ht="15" hidden="false" customHeight="false" outlineLevel="0" collapsed="false">
      <c r="A60" s="3" t="s">
        <v>130</v>
      </c>
      <c r="C60" s="26" t="n">
        <f aca="false">C35+C37+C38+C57</f>
        <v>250000</v>
      </c>
      <c r="D60" s="26" t="n">
        <f aca="false">D35+D37+D38+D57</f>
        <v>446495</v>
      </c>
      <c r="E60" s="26" t="n">
        <f aca="false">E35+E37+E38+E57</f>
        <v>389542.425</v>
      </c>
      <c r="F60" s="26" t="n">
        <f aca="false">F35+F37+F38+F57</f>
        <v>398643.061375</v>
      </c>
      <c r="G60" s="26" t="n">
        <f aca="false">G35+G37+G38+G57</f>
        <v>407797.707295625</v>
      </c>
      <c r="H60" s="26" t="n">
        <f aca="false">H35+H37+H38+H57</f>
        <v>401007.172905059</v>
      </c>
      <c r="I60" s="26" t="n">
        <f aca="false">I35+I37+I38+I57</f>
        <v>367272.280498635</v>
      </c>
      <c r="J60" s="26" t="n">
        <f aca="false">J35+J37+J38+J57</f>
        <v>333593.864706115</v>
      </c>
      <c r="K60" s="26" t="n">
        <f aca="false">K35+K37+K38+K57</f>
        <v>299972.772676706</v>
      </c>
      <c r="L60" s="26" t="n">
        <f aca="false">L35+L37+L38+L57</f>
        <v>266409.864266857</v>
      </c>
      <c r="M60" s="26" t="n">
        <f aca="false">M35+M37+M38+M57</f>
        <v>270406.01223086</v>
      </c>
      <c r="N60" s="26" t="n">
        <f aca="false">N35+N37+N38+N57</f>
        <v>274462.102414323</v>
      </c>
      <c r="O60" s="26" t="n">
        <f aca="false">O35+O37+O38+O57</f>
        <v>278579.033950537</v>
      </c>
      <c r="P60" s="26" t="n">
        <f aca="false">P35+P37+P38+P57</f>
        <v>282757.719459795</v>
      </c>
      <c r="Q60" s="26" t="n">
        <f aca="false">Q35+Q37+Q38+Q57</f>
        <v>286999.085251692</v>
      </c>
    </row>
    <row r="61" customFormat="false" ht="15" hidden="false" customHeight="false" outlineLevel="0" collapsed="false">
      <c r="A61" s="3" t="s">
        <v>131</v>
      </c>
      <c r="C61" s="25" t="n">
        <f aca="false">C60</f>
        <v>250000</v>
      </c>
      <c r="D61" s="25" t="n">
        <f aca="false">C61+D60</f>
        <v>696495</v>
      </c>
      <c r="E61" s="25" t="n">
        <f aca="false">D61+E60</f>
        <v>1086037.425</v>
      </c>
      <c r="F61" s="25" t="n">
        <f aca="false">E61+F60</f>
        <v>1484680.486375</v>
      </c>
      <c r="G61" s="25" t="n">
        <f aca="false">F61+G60</f>
        <v>1892478.19367062</v>
      </c>
      <c r="H61" s="25" t="n">
        <f aca="false">G61+H60</f>
        <v>2293485.36657568</v>
      </c>
      <c r="I61" s="25" t="n">
        <f aca="false">H61+I60</f>
        <v>2660757.64707432</v>
      </c>
      <c r="J61" s="25" t="n">
        <f aca="false">I61+J60</f>
        <v>2994351.51178043</v>
      </c>
      <c r="K61" s="25" t="n">
        <f aca="false">J61+K60</f>
        <v>3294324.28445714</v>
      </c>
      <c r="L61" s="25" t="n">
        <f aca="false">K61+L60</f>
        <v>3560734.148724</v>
      </c>
      <c r="M61" s="25" t="n">
        <f aca="false">L61+M60</f>
        <v>3831140.16095486</v>
      </c>
      <c r="N61" s="25" t="n">
        <f aca="false">M61+N60</f>
        <v>4105602.26336918</v>
      </c>
      <c r="O61" s="25" t="n">
        <f aca="false">N61+O60</f>
        <v>4384181.29731972</v>
      </c>
      <c r="P61" s="25" t="n">
        <f aca="false">O61+P60</f>
        <v>4666939.01677951</v>
      </c>
      <c r="Q61" s="25" t="n">
        <f aca="false">P61+Q60</f>
        <v>4953938.1020312</v>
      </c>
    </row>
    <row r="63" customFormat="false" ht="15" hidden="false" customHeight="false" outlineLevel="0" collapsed="false">
      <c r="A63" s="2" t="s">
        <v>132</v>
      </c>
      <c r="B63" s="24" t="n">
        <f aca="false">SUM(W41:W53)</f>
        <v>0</v>
      </c>
    </row>
    <row r="64" customFormat="false" ht="15" hidden="false" customHeight="false" outlineLevel="0" collapsed="false">
      <c r="A64" s="2" t="s">
        <v>133</v>
      </c>
      <c r="B64" s="22" t="n">
        <f aca="false">B63*$Q$34</f>
        <v>0</v>
      </c>
    </row>
    <row r="76" customFormat="false" ht="15" hidden="false" customHeight="false" outlineLevel="0" collapsed="false">
      <c r="A76" s="18" t="s">
        <v>134</v>
      </c>
      <c r="B76" s="19" t="str">
        <f aca="false">Scenarios!D$3</f>
        <v>Medium</v>
      </c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</row>
    <row r="77" customFormat="false" ht="15" hidden="false" customHeight="false" outlineLevel="0" collapsed="false">
      <c r="A77" s="3" t="s">
        <v>101</v>
      </c>
      <c r="C77" s="17" t="n">
        <v>1</v>
      </c>
      <c r="D77" s="17" t="n">
        <v>2</v>
      </c>
      <c r="E77" s="17" t="n">
        <v>3</v>
      </c>
      <c r="F77" s="17" t="n">
        <v>4</v>
      </c>
      <c r="G77" s="17" t="n">
        <v>5</v>
      </c>
      <c r="H77" s="17" t="n">
        <v>6</v>
      </c>
      <c r="I77" s="17" t="n">
        <v>7</v>
      </c>
      <c r="J77" s="17" t="n">
        <v>8</v>
      </c>
      <c r="K77" s="17" t="n">
        <v>9</v>
      </c>
      <c r="L77" s="17" t="n">
        <v>10</v>
      </c>
      <c r="M77" s="17" t="n">
        <v>11</v>
      </c>
      <c r="N77" s="17" t="n">
        <v>12</v>
      </c>
      <c r="O77" s="17" t="n">
        <v>13</v>
      </c>
      <c r="P77" s="17" t="n">
        <v>14</v>
      </c>
      <c r="Q77" s="17" t="n">
        <v>15</v>
      </c>
    </row>
    <row r="78" customFormat="false" ht="15" hidden="false" customHeight="false" outlineLevel="0" collapsed="false">
      <c r="A78" s="3" t="s">
        <v>102</v>
      </c>
      <c r="C78" s="17" t="n">
        <f aca="false">$B$6</f>
        <v>2026</v>
      </c>
      <c r="D78" s="17" t="n">
        <f aca="false">C78+1</f>
        <v>2027</v>
      </c>
      <c r="E78" s="17" t="n">
        <f aca="false">D78+1</f>
        <v>2028</v>
      </c>
      <c r="F78" s="17" t="n">
        <f aca="false">E78+1</f>
        <v>2029</v>
      </c>
      <c r="G78" s="17" t="n">
        <f aca="false">F78+1</f>
        <v>2030</v>
      </c>
      <c r="H78" s="17" t="n">
        <f aca="false">G78+1</f>
        <v>2031</v>
      </c>
      <c r="I78" s="17" t="n">
        <f aca="false">H78+1</f>
        <v>2032</v>
      </c>
      <c r="J78" s="17" t="n">
        <f aca="false">I78+1</f>
        <v>2033</v>
      </c>
      <c r="K78" s="17" t="n">
        <f aca="false">J78+1</f>
        <v>2034</v>
      </c>
      <c r="L78" s="17" t="n">
        <f aca="false">K78+1</f>
        <v>2035</v>
      </c>
      <c r="M78" s="17" t="n">
        <f aca="false">L78+1</f>
        <v>2036</v>
      </c>
      <c r="N78" s="17" t="n">
        <f aca="false">M78+1</f>
        <v>2037</v>
      </c>
      <c r="O78" s="17" t="n">
        <f aca="false">N78+1</f>
        <v>2038</v>
      </c>
      <c r="P78" s="17" t="n">
        <f aca="false">O78+1</f>
        <v>2039</v>
      </c>
      <c r="Q78" s="17" t="n">
        <f aca="false">P78+1</f>
        <v>2040</v>
      </c>
    </row>
    <row r="79" customFormat="false" ht="15" hidden="false" customHeight="false" outlineLevel="0" collapsed="false">
      <c r="A79" s="2" t="s">
        <v>103</v>
      </c>
      <c r="C79" s="21" t="n">
        <f aca="false">$B$17</f>
        <v>150</v>
      </c>
      <c r="D79" s="21" t="n">
        <f aca="false">C79*(1+Scenarios!$D$4)</f>
        <v>160.5</v>
      </c>
      <c r="E79" s="21" t="n">
        <f aca="false">D79*(1+Scenarios!$D$4)</f>
        <v>171.735</v>
      </c>
      <c r="F79" s="21" t="n">
        <f aca="false">E79*(1+Scenarios!$D$4)</f>
        <v>183.75645</v>
      </c>
      <c r="G79" s="21" t="n">
        <f aca="false">F79*(1+Scenarios!$D$4)</f>
        <v>196.6194015</v>
      </c>
      <c r="H79" s="21" t="n">
        <f aca="false">G79*(1+Scenarios!$D$4)</f>
        <v>210.382759605</v>
      </c>
      <c r="I79" s="21" t="n">
        <f aca="false">H79*(1+Scenarios!$D$4)</f>
        <v>225.10955277735</v>
      </c>
      <c r="J79" s="21" t="n">
        <f aca="false">I79*(1+Scenarios!$D$4)</f>
        <v>240.867221471765</v>
      </c>
      <c r="K79" s="21" t="n">
        <f aca="false">J79*(1+Scenarios!$D$4)</f>
        <v>257.727926974788</v>
      </c>
      <c r="L79" s="21" t="n">
        <f aca="false">K79*(1+Scenarios!$D$4)</f>
        <v>275.768881863023</v>
      </c>
      <c r="M79" s="21" t="n">
        <f aca="false">L79*(1+Scenarios!$D$4)</f>
        <v>295.072703593435</v>
      </c>
      <c r="N79" s="21" t="n">
        <f aca="false">M79*(1+Scenarios!$D$4)</f>
        <v>315.727792844975</v>
      </c>
      <c r="O79" s="21" t="n">
        <f aca="false">N79*(1+Scenarios!$D$4)</f>
        <v>337.828738344124</v>
      </c>
      <c r="P79" s="21" t="n">
        <f aca="false">O79*(1+Scenarios!$D$4)</f>
        <v>361.476750028212</v>
      </c>
      <c r="Q79" s="21" t="n">
        <f aca="false">P79*(1+Scenarios!$D$4)</f>
        <v>386.780122530187</v>
      </c>
    </row>
    <row r="80" customFormat="false" ht="15" hidden="false" customHeight="false" outlineLevel="0" collapsed="false">
      <c r="A80" s="2" t="s">
        <v>104</v>
      </c>
      <c r="C80" s="22" t="n">
        <f aca="false">$B$7</f>
        <v>200000</v>
      </c>
      <c r="D80" s="22" t="n">
        <f aca="false">C80*(1+$B$8*Scenarios!$D$5)</f>
        <v>206000</v>
      </c>
      <c r="E80" s="22" t="n">
        <f aca="false">D80*(1+$B$8*Scenarios!$D$5)</f>
        <v>212180</v>
      </c>
      <c r="F80" s="22" t="n">
        <f aca="false">E80*(1+$B$8*Scenarios!$D$5)</f>
        <v>218545.4</v>
      </c>
      <c r="G80" s="22" t="n">
        <f aca="false">F80*(1+$B$8*Scenarios!$D$5)</f>
        <v>225101.762</v>
      </c>
      <c r="H80" s="22" t="n">
        <f aca="false">G80*(1+$B$8*Scenarios!$D$5)</f>
        <v>231854.81486</v>
      </c>
      <c r="I80" s="22" t="n">
        <f aca="false">H80*(1+$B$8*Scenarios!$D$5)</f>
        <v>238810.4593058</v>
      </c>
      <c r="J80" s="22" t="n">
        <f aca="false">I80*(1+$B$8*Scenarios!$D$5)</f>
        <v>245974.773084974</v>
      </c>
      <c r="K80" s="22" t="n">
        <f aca="false">J80*(1+$B$8*Scenarios!$D$5)</f>
        <v>253354.016277523</v>
      </c>
      <c r="L80" s="22" t="n">
        <f aca="false">K80*(1+$B$8*Scenarios!$D$5)</f>
        <v>260954.636765849</v>
      </c>
      <c r="M80" s="22" t="n">
        <f aca="false">L80*(1+$B$8*Scenarios!$D$5)</f>
        <v>268783.275868824</v>
      </c>
      <c r="N80" s="22" t="n">
        <f aca="false">M80*(1+$B$8*Scenarios!$D$5)</f>
        <v>276846.774144889</v>
      </c>
      <c r="O80" s="22" t="n">
        <f aca="false">N80*(1+$B$8*Scenarios!$D$5)</f>
        <v>285152.177369236</v>
      </c>
      <c r="P80" s="22" t="n">
        <f aca="false">O80*(1+$B$8*Scenarios!$D$5)</f>
        <v>293706.742690313</v>
      </c>
      <c r="Q80" s="22" t="n">
        <f aca="false">P80*(1+$B$8*Scenarios!$D$5)</f>
        <v>302517.944971022</v>
      </c>
    </row>
    <row r="81" customFormat="false" ht="15" hidden="false" customHeight="false" outlineLevel="0" collapsed="false">
      <c r="A81" s="2" t="s">
        <v>105</v>
      </c>
      <c r="C81" s="22" t="n">
        <f aca="false">IF($B$10="Prior",0,C80)</f>
        <v>200000</v>
      </c>
      <c r="D81" s="22" t="n">
        <f aca="false">IF($B$10="Prior",C80,D80)</f>
        <v>206000</v>
      </c>
      <c r="E81" s="22" t="n">
        <f aca="false">IF($B$10="Prior",D80,E80)</f>
        <v>212180</v>
      </c>
      <c r="F81" s="22" t="n">
        <f aca="false">IF($B$10="Prior",E80,F80)</f>
        <v>218545.4</v>
      </c>
      <c r="G81" s="22" t="n">
        <f aca="false">IF($B$10="Prior",F80,G80)</f>
        <v>225101.762</v>
      </c>
      <c r="H81" s="22" t="n">
        <f aca="false">IF($B$10="Prior",G80,H80)</f>
        <v>231854.81486</v>
      </c>
      <c r="I81" s="22" t="n">
        <f aca="false">IF($B$10="Prior",H80,I80)</f>
        <v>238810.4593058</v>
      </c>
      <c r="J81" s="22" t="n">
        <f aca="false">IF($B$10="Prior",I80,J80)</f>
        <v>245974.773084974</v>
      </c>
      <c r="K81" s="22" t="n">
        <f aca="false">IF($B$10="Prior",J80,K80)</f>
        <v>253354.016277523</v>
      </c>
      <c r="L81" s="22" t="n">
        <f aca="false">IF($B$10="Prior",K80,L80)</f>
        <v>260954.636765849</v>
      </c>
      <c r="M81" s="22" t="n">
        <f aca="false">IF($B$10="Prior",L80,M80)</f>
        <v>268783.275868824</v>
      </c>
      <c r="N81" s="22" t="n">
        <f aca="false">IF($B$10="Prior",M80,N80)</f>
        <v>276846.774144889</v>
      </c>
      <c r="O81" s="22" t="n">
        <f aca="false">IF($B$10="Prior",N80,O80)</f>
        <v>285152.177369236</v>
      </c>
      <c r="P81" s="22" t="n">
        <f aca="false">IF($B$10="Prior",O80,P80)</f>
        <v>293706.742690313</v>
      </c>
      <c r="Q81" s="22" t="n">
        <f aca="false">IF($B$10="Prior",P80,Q80)</f>
        <v>302517.944971022</v>
      </c>
    </row>
    <row r="82" customFormat="false" ht="15" hidden="false" customHeight="false" outlineLevel="0" collapsed="false">
      <c r="A82" s="2" t="s">
        <v>106</v>
      </c>
      <c r="C82" s="22" t="n">
        <f aca="false">IF($B$11="No",0,C81*$B$9*Scenarios!$D$6)</f>
        <v>0</v>
      </c>
      <c r="D82" s="22" t="n">
        <f aca="false">D81*$B$9*Scenarios!$D$6</f>
        <v>45320</v>
      </c>
      <c r="E82" s="22" t="n">
        <f aca="false">E81*$B$9*Scenarios!$D$6</f>
        <v>46679.6</v>
      </c>
      <c r="F82" s="22" t="n">
        <f aca="false">F81*$B$9*Scenarios!$D$6</f>
        <v>48079.988</v>
      </c>
      <c r="G82" s="22" t="n">
        <f aca="false">G81*$B$9*Scenarios!$D$6</f>
        <v>49522.38764</v>
      </c>
      <c r="H82" s="22" t="n">
        <f aca="false">H81*$B$9*Scenarios!$D$6</f>
        <v>51008.0592692</v>
      </c>
      <c r="I82" s="22" t="n">
        <f aca="false">I81*$B$9*Scenarios!$D$6</f>
        <v>52538.301047276</v>
      </c>
      <c r="J82" s="22" t="n">
        <f aca="false">J81*$B$9*Scenarios!$D$6</f>
        <v>54114.4500786943</v>
      </c>
      <c r="K82" s="22" t="n">
        <f aca="false">K81*$B$9*Scenarios!$D$6</f>
        <v>55737.8835810551</v>
      </c>
      <c r="L82" s="22" t="n">
        <f aca="false">L81*$B$9*Scenarios!$D$6</f>
        <v>57410.0200884868</v>
      </c>
      <c r="M82" s="22" t="n">
        <f aca="false">M81*$B$9*Scenarios!$D$6</f>
        <v>59132.3206911414</v>
      </c>
      <c r="N82" s="22" t="n">
        <f aca="false">N81*$B$9*Scenarios!$D$6</f>
        <v>60906.2903118756</v>
      </c>
      <c r="O82" s="22" t="n">
        <f aca="false">O81*$B$9*Scenarios!$D$6</f>
        <v>62733.4790212319</v>
      </c>
      <c r="P82" s="22" t="n">
        <f aca="false">P81*$B$9*Scenarios!$D$6</f>
        <v>64615.4833918688</v>
      </c>
      <c r="Q82" s="22" t="n">
        <f aca="false">Q81*$B$9*Scenarios!$D$6</f>
        <v>66553.9478936249</v>
      </c>
    </row>
    <row r="83" customFormat="false" ht="15" hidden="false" customHeight="false" outlineLevel="0" collapsed="false">
      <c r="A83" s="2" t="s">
        <v>107</v>
      </c>
      <c r="C83" s="22" t="n">
        <f aca="false">$B$12*$B$13</f>
        <v>50000</v>
      </c>
      <c r="D83" s="22" t="n">
        <f aca="false">$B$12*$B$14</f>
        <v>50000</v>
      </c>
      <c r="E83" s="22" t="n">
        <f aca="false">$B$12*$B$15</f>
        <v>0</v>
      </c>
      <c r="F83" s="22" t="n">
        <v>0</v>
      </c>
      <c r="G83" s="22" t="n">
        <v>0</v>
      </c>
      <c r="H83" s="22" t="n">
        <v>0</v>
      </c>
      <c r="I83" s="22" t="n">
        <v>0</v>
      </c>
      <c r="J83" s="22" t="n">
        <v>0</v>
      </c>
      <c r="K83" s="22" t="n">
        <v>0</v>
      </c>
      <c r="L83" s="22" t="n">
        <v>0</v>
      </c>
      <c r="M83" s="22" t="n">
        <v>0</v>
      </c>
      <c r="N83" s="22" t="n">
        <v>0</v>
      </c>
      <c r="O83" s="22" t="n">
        <v>0</v>
      </c>
      <c r="P83" s="22" t="n">
        <v>0</v>
      </c>
      <c r="Q83" s="22" t="n">
        <v>0</v>
      </c>
    </row>
    <row r="85" customFormat="false" ht="15" hidden="false" customHeight="false" outlineLevel="0" collapsed="false">
      <c r="A85" s="3" t="s">
        <v>108</v>
      </c>
      <c r="S85" s="7" t="s">
        <v>109</v>
      </c>
      <c r="T85" s="7" t="s">
        <v>110</v>
      </c>
      <c r="U85" s="7" t="s">
        <v>111</v>
      </c>
      <c r="V85" s="7" t="s">
        <v>112</v>
      </c>
      <c r="W85" s="7" t="s">
        <v>113</v>
      </c>
    </row>
    <row r="86" customFormat="false" ht="15" hidden="false" customHeight="false" outlineLevel="0" collapsed="false">
      <c r="A86" s="2" t="s">
        <v>97</v>
      </c>
      <c r="C86" s="22" t="n">
        <f aca="false">IF(AND(C$78-$S86+1-$B$22&gt;=1,C$78-$S86+1-$B$22&lt;=8),INDEX($C$26:$J$26,1,C$78-$S86+1-$B$22),0)*$U86*C$79</f>
        <v>0</v>
      </c>
      <c r="D86" s="22" t="n">
        <f aca="false">IF(AND(D$78-$S86+1-$B$22&gt;=1,D$78-$S86+1-$B$22&lt;=8),INDEX($C$26:$J$26,1,D$78-$S86+1-$B$22),0)*$U86*D$79</f>
        <v>171200</v>
      </c>
      <c r="E86" s="22" t="n">
        <f aca="false">IF(AND(E$78-$S86+1-$B$22&gt;=1,E$78-$S86+1-$B$22&lt;=8),INDEX($C$26:$J$26,1,E$78-$S86+1-$B$22),0)*$U86*E$79</f>
        <v>128228.8</v>
      </c>
      <c r="F86" s="22" t="n">
        <f aca="false">IF(AND(F$78-$S86+1-$B$22&gt;=1,F$78-$S86+1-$B$22&lt;=8),INDEX($C$26:$J$26,1,F$78-$S86+1-$B$22),0)*$U86*F$79</f>
        <v>98003.44</v>
      </c>
      <c r="G86" s="22" t="n">
        <f aca="false">IF(AND(G$78-$S86+1-$B$22&gt;=1,G$78-$S86+1-$B$22&lt;=8),INDEX($C$26:$J$26,1,G$78-$S86+1-$B$22),0)*$U86*G$79</f>
        <v>62918.20848</v>
      </c>
      <c r="H86" s="22" t="n">
        <f aca="false">IF(AND(H$78-$S86+1-$B$22&gt;=1,H$78-$S86+1-$B$22&lt;=8),INDEX($C$26:$J$26,1,H$78-$S86+1-$B$22),0)*$U86*H$79</f>
        <v>0</v>
      </c>
      <c r="I86" s="22" t="n">
        <f aca="false">IF(AND(I$78-$S86+1-$B$22&gt;=1,I$78-$S86+1-$B$22&lt;=8),INDEX($C$26:$J$26,1,I$78-$S86+1-$B$22),0)*$U86*I$79</f>
        <v>0</v>
      </c>
      <c r="J86" s="22" t="n">
        <f aca="false">IF(AND(J$78-$S86+1-$B$22&gt;=1,J$78-$S86+1-$B$22&lt;=8),INDEX($C$26:$J$26,1,J$78-$S86+1-$B$22),0)*$U86*J$79</f>
        <v>0</v>
      </c>
      <c r="K86" s="22" t="n">
        <f aca="false">IF(AND(K$78-$S86+1-$B$22&gt;=1,K$78-$S86+1-$B$22&lt;=8),INDEX($C$26:$J$26,1,K$78-$S86+1-$B$22),0)*$U86*K$79</f>
        <v>0</v>
      </c>
      <c r="L86" s="22" t="n">
        <f aca="false">IF(AND(L$78-$S86+1-$B$22&gt;=1,L$78-$S86+1-$B$22&lt;=8),INDEX($C$26:$J$26,1,L$78-$S86+1-$B$22),0)*$U86*L$79</f>
        <v>0</v>
      </c>
      <c r="M86" s="22" t="n">
        <f aca="false">IF(AND(M$78-$S86+1-$B$22&gt;=1,M$78-$S86+1-$B$22&lt;=8),INDEX($C$26:$J$26,1,M$78-$S86+1-$B$22),0)*$U86*M$79</f>
        <v>0</v>
      </c>
      <c r="N86" s="22" t="n">
        <f aca="false">IF(AND(N$78-$S86+1-$B$22&gt;=1,N$78-$S86+1-$B$22&lt;=8),INDEX($C$26:$J$26,1,N$78-$S86+1-$B$22),0)*$U86*N$79</f>
        <v>0</v>
      </c>
      <c r="O86" s="22" t="n">
        <f aca="false">IF(AND(O$78-$S86+1-$B$22&gt;=1,O$78-$S86+1-$B$22&lt;=8),INDEX($C$26:$J$26,1,O$78-$S86+1-$B$22),0)*$U86*O$79</f>
        <v>0</v>
      </c>
      <c r="P86" s="22" t="n">
        <f aca="false">IF(AND(P$78-$S86+1-$B$22&gt;=1,P$78-$S86+1-$B$22&lt;=8),INDEX($C$26:$J$26,1,P$78-$S86+1-$B$22),0)*$U86*P$79</f>
        <v>0</v>
      </c>
      <c r="Q86" s="22" t="n">
        <f aca="false">IF(AND(Q$78-$S86+1-$B$22&gt;=1,Q$78-$S86+1-$B$22&lt;=8),INDEX($C$26:$J$26,1,Q$78-$S86+1-$B$22),0)*$U86*Q$79</f>
        <v>0</v>
      </c>
      <c r="S86" s="23" t="n">
        <f aca="false">$B$6</f>
        <v>2026</v>
      </c>
      <c r="T86" s="22" t="n">
        <f aca="false">$B$18</f>
        <v>400000</v>
      </c>
      <c r="U86" s="24" t="n">
        <f aca="false">IFERROR(T86/$B$17,0)</f>
        <v>2666.66666666667</v>
      </c>
      <c r="V86" s="24" t="n">
        <f aca="false">SUMPRODUCT(($C$25:$J$25&lt;=$Q$78-$S86+1-$B$22)*$C$26:$J$26)*$U86</f>
        <v>2666.66666666667</v>
      </c>
      <c r="W86" s="24" t="n">
        <f aca="false">$U86-$V86</f>
        <v>0</v>
      </c>
    </row>
    <row r="87" customFormat="false" ht="15" hidden="false" customHeight="false" outlineLevel="0" collapsed="false">
      <c r="A87" s="2" t="s">
        <v>114</v>
      </c>
      <c r="C87" s="22" t="n">
        <f aca="false">IF(AND(C$78-$S87+1-$B$22&gt;=1,C$78-$S87+1-$B$22&lt;=8),INDEX($C$27:$J$27,1,C$78-$S87+1-$B$22),0)*$U87*C$79</f>
        <v>0</v>
      </c>
      <c r="D87" s="22" t="n">
        <f aca="false">IF(AND(D$78-$S87+1-$B$22&gt;=1,D$78-$S87+1-$B$22&lt;=8),INDEX($C$27:$J$27,1,D$78-$S87+1-$B$22),0)*$U87*D$79</f>
        <v>0</v>
      </c>
      <c r="E87" s="22" t="n">
        <f aca="false">IF(AND(E$78-$S87+1-$B$22&gt;=1,E$78-$S87+1-$B$22&lt;=8),INDEX($C$27:$J$27,1,E$78-$S87+1-$B$22),0)*$U87*E$79</f>
        <v>40125</v>
      </c>
      <c r="F87" s="22" t="n">
        <f aca="false">IF(AND(F$78-$S87+1-$B$22&gt;=1,F$78-$S87+1-$B$22&lt;=8),INDEX($C$27:$J$27,1,F$78-$S87+1-$B$22),0)*$U87*F$79</f>
        <v>42933.75</v>
      </c>
      <c r="G87" s="22" t="n">
        <f aca="false">IF(AND(G$78-$S87+1-$B$22&gt;=1,G$78-$S87+1-$B$22&lt;=8),INDEX($C$27:$J$27,1,G$78-$S87+1-$B$22),0)*$U87*G$79</f>
        <v>45939.1125</v>
      </c>
      <c r="H87" s="22" t="n">
        <f aca="false">IF(AND(H$78-$S87+1-$B$22&gt;=1,H$78-$S87+1-$B$22&lt;=8),INDEX($C$27:$J$27,1,H$78-$S87+1-$B$22),0)*$U87*H$79</f>
        <v>49154.850375</v>
      </c>
      <c r="I87" s="22" t="n">
        <f aca="false">IF(AND(I$78-$S87+1-$B$22&gt;=1,I$78-$S87+1-$B$22&lt;=8),INDEX($C$27:$J$27,1,I$78-$S87+1-$B$22),0)*$U87*I$79</f>
        <v>0</v>
      </c>
      <c r="J87" s="22" t="n">
        <f aca="false">IF(AND(J$78-$S87+1-$B$22&gt;=1,J$78-$S87+1-$B$22&lt;=8),INDEX($C$27:$J$27,1,J$78-$S87+1-$B$22),0)*$U87*J$79</f>
        <v>0</v>
      </c>
      <c r="K87" s="22" t="n">
        <f aca="false">IF(AND(K$78-$S87+1-$B$22&gt;=1,K$78-$S87+1-$B$22&lt;=8),INDEX($C$27:$J$27,1,K$78-$S87+1-$B$22),0)*$U87*K$79</f>
        <v>0</v>
      </c>
      <c r="L87" s="22" t="n">
        <f aca="false">IF(AND(L$78-$S87+1-$B$22&gt;=1,L$78-$S87+1-$B$22&lt;=8),INDEX($C$27:$J$27,1,L$78-$S87+1-$B$22),0)*$U87*L$79</f>
        <v>0</v>
      </c>
      <c r="M87" s="22" t="n">
        <f aca="false">IF(AND(M$78-$S87+1-$B$22&gt;=1,M$78-$S87+1-$B$22&lt;=8),INDEX($C$27:$J$27,1,M$78-$S87+1-$B$22),0)*$U87*M$79</f>
        <v>0</v>
      </c>
      <c r="N87" s="22" t="n">
        <f aca="false">IF(AND(N$78-$S87+1-$B$22&gt;=1,N$78-$S87+1-$B$22&lt;=8),INDEX($C$27:$J$27,1,N$78-$S87+1-$B$22),0)*$U87*N$79</f>
        <v>0</v>
      </c>
      <c r="O87" s="22" t="n">
        <f aca="false">IF(AND(O$78-$S87+1-$B$22&gt;=1,O$78-$S87+1-$B$22&lt;=8),INDEX($C$27:$J$27,1,O$78-$S87+1-$B$22),0)*$U87*O$79</f>
        <v>0</v>
      </c>
      <c r="P87" s="22" t="n">
        <f aca="false">IF(AND(P$78-$S87+1-$B$22&gt;=1,P$78-$S87+1-$B$22&lt;=8),INDEX($C$27:$J$27,1,P$78-$S87+1-$B$22),0)*$U87*P$79</f>
        <v>0</v>
      </c>
      <c r="Q87" s="22" t="n">
        <f aca="false">IF(AND(Q$78-$S87+1-$B$22&gt;=1,Q$78-$S87+1-$B$22&lt;=8),INDEX($C$27:$J$27,1,Q$78-$S87+1-$B$22),0)*$U87*Q$79</f>
        <v>0</v>
      </c>
      <c r="S87" s="23" t="n">
        <f aca="false">$B$20+0</f>
        <v>2027</v>
      </c>
      <c r="T87" s="22" t="n">
        <f aca="false">IF($S87&gt;$B$20+Scenarios!$D$8-1,0,$B$19*(1+$B$21*Scenarios!$D$7)^0)</f>
        <v>150000</v>
      </c>
      <c r="U87" s="24" t="n">
        <f aca="false">IFERROR($T87/INDEX($C$79:$Q$79,1,MATCH($S87,$C$78:$Q$78,0)),0)</f>
        <v>934.579439252336</v>
      </c>
      <c r="V87" s="24" t="n">
        <f aca="false">SUMPRODUCT(($C$25:$J$25&lt;=$Q$78-$S87+1-$B$22)*$C$27:$J$27)*$U87</f>
        <v>934.579439252336</v>
      </c>
      <c r="W87" s="24" t="n">
        <f aca="false">$U87-$V87</f>
        <v>0</v>
      </c>
    </row>
    <row r="88" customFormat="false" ht="15" hidden="false" customHeight="false" outlineLevel="0" collapsed="false">
      <c r="A88" s="2" t="s">
        <v>115</v>
      </c>
      <c r="C88" s="22" t="n">
        <f aca="false">IF(AND(C$78-$S88+1-$B$22&gt;=1,C$78-$S88+1-$B$22&lt;=8),INDEX($C$27:$J$27,1,C$78-$S88+1-$B$22),0)*$U88*C$79</f>
        <v>0</v>
      </c>
      <c r="D88" s="22" t="n">
        <f aca="false">IF(AND(D$78-$S88+1-$B$22&gt;=1,D$78-$S88+1-$B$22&lt;=8),INDEX($C$27:$J$27,1,D$78-$S88+1-$B$22),0)*$U88*D$79</f>
        <v>0</v>
      </c>
      <c r="E88" s="22" t="n">
        <f aca="false">IF(AND(E$78-$S88+1-$B$22&gt;=1,E$78-$S88+1-$B$22&lt;=8),INDEX($C$27:$J$27,1,E$78-$S88+1-$B$22),0)*$U88*E$79</f>
        <v>0</v>
      </c>
      <c r="F88" s="22" t="n">
        <f aca="false">IF(AND(F$78-$S88+1-$B$22&gt;=1,F$78-$S88+1-$B$22&lt;=8),INDEX($C$27:$J$27,1,F$78-$S88+1-$B$22),0)*$U88*F$79</f>
        <v>41328.75</v>
      </c>
      <c r="G88" s="22" t="n">
        <f aca="false">IF(AND(G$78-$S88+1-$B$22&gt;=1,G$78-$S88+1-$B$22&lt;=8),INDEX($C$27:$J$27,1,G$78-$S88+1-$B$22),0)*$U88*G$79</f>
        <v>44221.7625</v>
      </c>
      <c r="H88" s="22" t="n">
        <f aca="false">IF(AND(H$78-$S88+1-$B$22&gt;=1,H$78-$S88+1-$B$22&lt;=8),INDEX($C$27:$J$27,1,H$78-$S88+1-$B$22),0)*$U88*H$79</f>
        <v>47317.285875</v>
      </c>
      <c r="I88" s="22" t="n">
        <f aca="false">IF(AND(I$78-$S88+1-$B$22&gt;=1,I$78-$S88+1-$B$22&lt;=8),INDEX($C$27:$J$27,1,I$78-$S88+1-$B$22),0)*$U88*I$79</f>
        <v>50629.49588625</v>
      </c>
      <c r="J88" s="22" t="n">
        <f aca="false">IF(AND(J$78-$S88+1-$B$22&gt;=1,J$78-$S88+1-$B$22&lt;=8),INDEX($C$27:$J$27,1,J$78-$S88+1-$B$22),0)*$U88*J$79</f>
        <v>0</v>
      </c>
      <c r="K88" s="22" t="n">
        <f aca="false">IF(AND(K$78-$S88+1-$B$22&gt;=1,K$78-$S88+1-$B$22&lt;=8),INDEX($C$27:$J$27,1,K$78-$S88+1-$B$22),0)*$U88*K$79</f>
        <v>0</v>
      </c>
      <c r="L88" s="22" t="n">
        <f aca="false">IF(AND(L$78-$S88+1-$B$22&gt;=1,L$78-$S88+1-$B$22&lt;=8),INDEX($C$27:$J$27,1,L$78-$S88+1-$B$22),0)*$U88*L$79</f>
        <v>0</v>
      </c>
      <c r="M88" s="22" t="n">
        <f aca="false">IF(AND(M$78-$S88+1-$B$22&gt;=1,M$78-$S88+1-$B$22&lt;=8),INDEX($C$27:$J$27,1,M$78-$S88+1-$B$22),0)*$U88*M$79</f>
        <v>0</v>
      </c>
      <c r="N88" s="22" t="n">
        <f aca="false">IF(AND(N$78-$S88+1-$B$22&gt;=1,N$78-$S88+1-$B$22&lt;=8),INDEX($C$27:$J$27,1,N$78-$S88+1-$B$22),0)*$U88*N$79</f>
        <v>0</v>
      </c>
      <c r="O88" s="22" t="n">
        <f aca="false">IF(AND(O$78-$S88+1-$B$22&gt;=1,O$78-$S88+1-$B$22&lt;=8),INDEX($C$27:$J$27,1,O$78-$S88+1-$B$22),0)*$U88*O$79</f>
        <v>0</v>
      </c>
      <c r="P88" s="22" t="n">
        <f aca="false">IF(AND(P$78-$S88+1-$B$22&gt;=1,P$78-$S88+1-$B$22&lt;=8),INDEX($C$27:$J$27,1,P$78-$S88+1-$B$22),0)*$U88*P$79</f>
        <v>0</v>
      </c>
      <c r="Q88" s="22" t="n">
        <f aca="false">IF(AND(Q$78-$S88+1-$B$22&gt;=1,Q$78-$S88+1-$B$22&lt;=8),INDEX($C$27:$J$27,1,Q$78-$S88+1-$B$22),0)*$U88*Q$79</f>
        <v>0</v>
      </c>
      <c r="S88" s="23" t="n">
        <f aca="false">$B$20+1</f>
        <v>2028</v>
      </c>
      <c r="T88" s="22" t="n">
        <f aca="false">IF($S88&gt;$B$20+Scenarios!$D$8-1,0,$B$19*(1+$B$21*Scenarios!$D$7)^1)</f>
        <v>154500</v>
      </c>
      <c r="U88" s="24" t="n">
        <f aca="false">IFERROR($T88/INDEX($C$79:$Q$79,1,MATCH($S88,$C$78:$Q$78,0)),0)</f>
        <v>899.641890121408</v>
      </c>
      <c r="V88" s="24" t="n">
        <f aca="false">SUMPRODUCT(($C$25:$J$25&lt;=$Q$78-$S88+1-$B$22)*$C$27:$J$27)*$U88</f>
        <v>899.641890121408</v>
      </c>
      <c r="W88" s="24" t="n">
        <f aca="false">$U88-$V88</f>
        <v>0</v>
      </c>
    </row>
    <row r="89" customFormat="false" ht="15" hidden="false" customHeight="false" outlineLevel="0" collapsed="false">
      <c r="A89" s="2" t="s">
        <v>116</v>
      </c>
      <c r="C89" s="22" t="n">
        <f aca="false">IF(AND(C$78-$S89+1-$B$22&gt;=1,C$78-$S89+1-$B$22&lt;=8),INDEX($C$27:$J$27,1,C$78-$S89+1-$B$22),0)*$U89*C$79</f>
        <v>0</v>
      </c>
      <c r="D89" s="22" t="n">
        <f aca="false">IF(AND(D$78-$S89+1-$B$22&gt;=1,D$78-$S89+1-$B$22&lt;=8),INDEX($C$27:$J$27,1,D$78-$S89+1-$B$22),0)*$U89*D$79</f>
        <v>0</v>
      </c>
      <c r="E89" s="22" t="n">
        <f aca="false">IF(AND(E$78-$S89+1-$B$22&gt;=1,E$78-$S89+1-$B$22&lt;=8),INDEX($C$27:$J$27,1,E$78-$S89+1-$B$22),0)*$U89*E$79</f>
        <v>0</v>
      </c>
      <c r="F89" s="22" t="n">
        <f aca="false">IF(AND(F$78-$S89+1-$B$22&gt;=1,F$78-$S89+1-$B$22&lt;=8),INDEX($C$27:$J$27,1,F$78-$S89+1-$B$22),0)*$U89*F$79</f>
        <v>0</v>
      </c>
      <c r="G89" s="22" t="n">
        <f aca="false">IF(AND(G$78-$S89+1-$B$22&gt;=1,G$78-$S89+1-$B$22&lt;=8),INDEX($C$27:$J$27,1,G$78-$S89+1-$B$22),0)*$U89*G$79</f>
        <v>42568.6125</v>
      </c>
      <c r="H89" s="22" t="n">
        <f aca="false">IF(AND(H$78-$S89+1-$B$22&gt;=1,H$78-$S89+1-$B$22&lt;=8),INDEX($C$27:$J$27,1,H$78-$S89+1-$B$22),0)*$U89*H$79</f>
        <v>45548.415375</v>
      </c>
      <c r="I89" s="22" t="n">
        <f aca="false">IF(AND(I$78-$S89+1-$B$22&gt;=1,I$78-$S89+1-$B$22&lt;=8),INDEX($C$27:$J$27,1,I$78-$S89+1-$B$22),0)*$U89*I$79</f>
        <v>48736.80445125</v>
      </c>
      <c r="J89" s="22" t="n">
        <f aca="false">IF(AND(J$78-$S89+1-$B$22&gt;=1,J$78-$S89+1-$B$22&lt;=8),INDEX($C$27:$J$27,1,J$78-$S89+1-$B$22),0)*$U89*J$79</f>
        <v>52148.3807628375</v>
      </c>
      <c r="K89" s="22" t="n">
        <f aca="false">IF(AND(K$78-$S89+1-$B$22&gt;=1,K$78-$S89+1-$B$22&lt;=8),INDEX($C$27:$J$27,1,K$78-$S89+1-$B$22),0)*$U89*K$79</f>
        <v>0</v>
      </c>
      <c r="L89" s="22" t="n">
        <f aca="false">IF(AND(L$78-$S89+1-$B$22&gt;=1,L$78-$S89+1-$B$22&lt;=8),INDEX($C$27:$J$27,1,L$78-$S89+1-$B$22),0)*$U89*L$79</f>
        <v>0</v>
      </c>
      <c r="M89" s="22" t="n">
        <f aca="false">IF(AND(M$78-$S89+1-$B$22&gt;=1,M$78-$S89+1-$B$22&lt;=8),INDEX($C$27:$J$27,1,M$78-$S89+1-$B$22),0)*$U89*M$79</f>
        <v>0</v>
      </c>
      <c r="N89" s="22" t="n">
        <f aca="false">IF(AND(N$78-$S89+1-$B$22&gt;=1,N$78-$S89+1-$B$22&lt;=8),INDEX($C$27:$J$27,1,N$78-$S89+1-$B$22),0)*$U89*N$79</f>
        <v>0</v>
      </c>
      <c r="O89" s="22" t="n">
        <f aca="false">IF(AND(O$78-$S89+1-$B$22&gt;=1,O$78-$S89+1-$B$22&lt;=8),INDEX($C$27:$J$27,1,O$78-$S89+1-$B$22),0)*$U89*O$79</f>
        <v>0</v>
      </c>
      <c r="P89" s="22" t="n">
        <f aca="false">IF(AND(P$78-$S89+1-$B$22&gt;=1,P$78-$S89+1-$B$22&lt;=8),INDEX($C$27:$J$27,1,P$78-$S89+1-$B$22),0)*$U89*P$79</f>
        <v>0</v>
      </c>
      <c r="Q89" s="22" t="n">
        <f aca="false">IF(AND(Q$78-$S89+1-$B$22&gt;=1,Q$78-$S89+1-$B$22&lt;=8),INDEX($C$27:$J$27,1,Q$78-$S89+1-$B$22),0)*$U89*Q$79</f>
        <v>0</v>
      </c>
      <c r="S89" s="23" t="n">
        <f aca="false">$B$20+2</f>
        <v>2029</v>
      </c>
      <c r="T89" s="22" t="n">
        <f aca="false">IF($S89&gt;$B$20+Scenarios!$D$8-1,0,$B$19*(1+$B$21*Scenarios!$D$7)^2)</f>
        <v>159135</v>
      </c>
      <c r="U89" s="24" t="n">
        <f aca="false">IFERROR($T89/INDEX($C$79:$Q$79,1,MATCH($S89,$C$78:$Q$78,0)),0)</f>
        <v>866.010417593505</v>
      </c>
      <c r="V89" s="24" t="n">
        <f aca="false">SUMPRODUCT(($C$25:$J$25&lt;=$Q$78-$S89+1-$B$22)*$C$27:$J$27)*$U89</f>
        <v>866.010417593505</v>
      </c>
      <c r="W89" s="24" t="n">
        <f aca="false">$U89-$V89</f>
        <v>0</v>
      </c>
    </row>
    <row r="90" customFormat="false" ht="15" hidden="false" customHeight="false" outlineLevel="0" collapsed="false">
      <c r="A90" s="2" t="s">
        <v>117</v>
      </c>
      <c r="C90" s="22" t="n">
        <f aca="false">IF(AND(C$78-$S90+1-$B$22&gt;=1,C$78-$S90+1-$B$22&lt;=8),INDEX($C$27:$J$27,1,C$78-$S90+1-$B$22),0)*$U90*C$79</f>
        <v>0</v>
      </c>
      <c r="D90" s="22" t="n">
        <f aca="false">IF(AND(D$78-$S90+1-$B$22&gt;=1,D$78-$S90+1-$B$22&lt;=8),INDEX($C$27:$J$27,1,D$78-$S90+1-$B$22),0)*$U90*D$79</f>
        <v>0</v>
      </c>
      <c r="E90" s="22" t="n">
        <f aca="false">IF(AND(E$78-$S90+1-$B$22&gt;=1,E$78-$S90+1-$B$22&lt;=8),INDEX($C$27:$J$27,1,E$78-$S90+1-$B$22),0)*$U90*E$79</f>
        <v>0</v>
      </c>
      <c r="F90" s="22" t="n">
        <f aca="false">IF(AND(F$78-$S90+1-$B$22&gt;=1,F$78-$S90+1-$B$22&lt;=8),INDEX($C$27:$J$27,1,F$78-$S90+1-$B$22),0)*$U90*F$79</f>
        <v>0</v>
      </c>
      <c r="G90" s="22" t="n">
        <f aca="false">IF(AND(G$78-$S90+1-$B$22&gt;=1,G$78-$S90+1-$B$22&lt;=8),INDEX($C$27:$J$27,1,G$78-$S90+1-$B$22),0)*$U90*G$79</f>
        <v>0</v>
      </c>
      <c r="H90" s="22" t="n">
        <f aca="false">IF(AND(H$78-$S90+1-$B$22&gt;=1,H$78-$S90+1-$B$22&lt;=8),INDEX($C$27:$J$27,1,H$78-$S90+1-$B$22),0)*$U90*H$79</f>
        <v>43845.670875</v>
      </c>
      <c r="I90" s="22" t="n">
        <f aca="false">IF(AND(I$78-$S90+1-$B$22&gt;=1,I$78-$S90+1-$B$22&lt;=8),INDEX($C$27:$J$27,1,I$78-$S90+1-$B$22),0)*$U90*I$79</f>
        <v>46914.86783625</v>
      </c>
      <c r="J90" s="22" t="n">
        <f aca="false">IF(AND(J$78-$S90+1-$B$22&gt;=1,J$78-$S90+1-$B$22&lt;=8),INDEX($C$27:$J$27,1,J$78-$S90+1-$B$22),0)*$U90*J$79</f>
        <v>50198.9085847875</v>
      </c>
      <c r="K90" s="22" t="n">
        <f aca="false">IF(AND(K$78-$S90+1-$B$22&gt;=1,K$78-$S90+1-$B$22&lt;=8),INDEX($C$27:$J$27,1,K$78-$S90+1-$B$22),0)*$U90*K$79</f>
        <v>53712.8321857226</v>
      </c>
      <c r="L90" s="22" t="n">
        <f aca="false">IF(AND(L$78-$S90+1-$B$22&gt;=1,L$78-$S90+1-$B$22&lt;=8),INDEX($C$27:$J$27,1,L$78-$S90+1-$B$22),0)*$U90*L$79</f>
        <v>0</v>
      </c>
      <c r="M90" s="22" t="n">
        <f aca="false">IF(AND(M$78-$S90+1-$B$22&gt;=1,M$78-$S90+1-$B$22&lt;=8),INDEX($C$27:$J$27,1,M$78-$S90+1-$B$22),0)*$U90*M$79</f>
        <v>0</v>
      </c>
      <c r="N90" s="22" t="n">
        <f aca="false">IF(AND(N$78-$S90+1-$B$22&gt;=1,N$78-$S90+1-$B$22&lt;=8),INDEX($C$27:$J$27,1,N$78-$S90+1-$B$22),0)*$U90*N$79</f>
        <v>0</v>
      </c>
      <c r="O90" s="22" t="n">
        <f aca="false">IF(AND(O$78-$S90+1-$B$22&gt;=1,O$78-$S90+1-$B$22&lt;=8),INDEX($C$27:$J$27,1,O$78-$S90+1-$B$22),0)*$U90*O$79</f>
        <v>0</v>
      </c>
      <c r="P90" s="22" t="n">
        <f aca="false">IF(AND(P$78-$S90+1-$B$22&gt;=1,P$78-$S90+1-$B$22&lt;=8),INDEX($C$27:$J$27,1,P$78-$S90+1-$B$22),0)*$U90*P$79</f>
        <v>0</v>
      </c>
      <c r="Q90" s="22" t="n">
        <f aca="false">IF(AND(Q$78-$S90+1-$B$22&gt;=1,Q$78-$S90+1-$B$22&lt;=8),INDEX($C$27:$J$27,1,Q$78-$S90+1-$B$22),0)*$U90*Q$79</f>
        <v>0</v>
      </c>
      <c r="S90" s="23" t="n">
        <f aca="false">$B$20+3</f>
        <v>2030</v>
      </c>
      <c r="T90" s="22" t="n">
        <f aca="false">IF($S90&gt;$B$20+Scenarios!$D$8-1,0,$B$19*(1+$B$21*Scenarios!$D$7)^3)</f>
        <v>163909.05</v>
      </c>
      <c r="U90" s="24" t="n">
        <f aca="false">IFERROR($T90/INDEX($C$79:$Q$79,1,MATCH($S90,$C$78:$Q$78,0)),0)</f>
        <v>833.636196375056</v>
      </c>
      <c r="V90" s="24" t="n">
        <f aca="false">SUMPRODUCT(($C$25:$J$25&lt;=$Q$78-$S90+1-$B$22)*$C$27:$J$27)*$U90</f>
        <v>833.636196375056</v>
      </c>
      <c r="W90" s="24" t="n">
        <f aca="false">$U90-$V90</f>
        <v>0</v>
      </c>
    </row>
    <row r="91" customFormat="false" ht="15" hidden="false" customHeight="false" outlineLevel="0" collapsed="false">
      <c r="A91" s="2" t="s">
        <v>118</v>
      </c>
      <c r="C91" s="22" t="n">
        <f aca="false">IF(AND(C$78-$S91+1-$B$22&gt;=1,C$78-$S91+1-$B$22&lt;=8),INDEX($C$27:$J$27,1,C$78-$S91+1-$B$22),0)*$U91*C$79</f>
        <v>0</v>
      </c>
      <c r="D91" s="22" t="n">
        <f aca="false">IF(AND(D$78-$S91+1-$B$22&gt;=1,D$78-$S91+1-$B$22&lt;=8),INDEX($C$27:$J$27,1,D$78-$S91+1-$B$22),0)*$U91*D$79</f>
        <v>0</v>
      </c>
      <c r="E91" s="22" t="n">
        <f aca="false">IF(AND(E$78-$S91+1-$B$22&gt;=1,E$78-$S91+1-$B$22&lt;=8),INDEX($C$27:$J$27,1,E$78-$S91+1-$B$22),0)*$U91*E$79</f>
        <v>0</v>
      </c>
      <c r="F91" s="22" t="n">
        <f aca="false">IF(AND(F$78-$S91+1-$B$22&gt;=1,F$78-$S91+1-$B$22&lt;=8),INDEX($C$27:$J$27,1,F$78-$S91+1-$B$22),0)*$U91*F$79</f>
        <v>0</v>
      </c>
      <c r="G91" s="22" t="n">
        <f aca="false">IF(AND(G$78-$S91+1-$B$22&gt;=1,G$78-$S91+1-$B$22&lt;=8),INDEX($C$27:$J$27,1,G$78-$S91+1-$B$22),0)*$U91*G$79</f>
        <v>0</v>
      </c>
      <c r="H91" s="22" t="n">
        <f aca="false">IF(AND(H$78-$S91+1-$B$22&gt;=1,H$78-$S91+1-$B$22&lt;=8),INDEX($C$27:$J$27,1,H$78-$S91+1-$B$22),0)*$U91*H$79</f>
        <v>0</v>
      </c>
      <c r="I91" s="22" t="n">
        <f aca="false">IF(AND(I$78-$S91+1-$B$22&gt;=1,I$78-$S91+1-$B$22&lt;=8),INDEX($C$27:$J$27,1,I$78-$S91+1-$B$22),0)*$U91*I$79</f>
        <v>45161.04100125</v>
      </c>
      <c r="J91" s="22" t="n">
        <f aca="false">IF(AND(J$78-$S91+1-$B$22&gt;=1,J$78-$S91+1-$B$22&lt;=8),INDEX($C$27:$J$27,1,J$78-$S91+1-$B$22),0)*$U91*J$79</f>
        <v>48322.3138713375</v>
      </c>
      <c r="K91" s="22" t="n">
        <f aca="false">IF(AND(K$78-$S91+1-$B$22&gt;=1,K$78-$S91+1-$B$22&lt;=8),INDEX($C$27:$J$27,1,K$78-$S91+1-$B$22),0)*$U91*K$79</f>
        <v>51704.8758423312</v>
      </c>
      <c r="L91" s="22" t="n">
        <f aca="false">IF(AND(L$78-$S91+1-$B$22&gt;=1,L$78-$S91+1-$B$22&lt;=8),INDEX($C$27:$J$27,1,L$78-$S91+1-$B$22),0)*$U91*L$79</f>
        <v>55324.2171512943</v>
      </c>
      <c r="M91" s="22" t="n">
        <f aca="false">IF(AND(M$78-$S91+1-$B$22&gt;=1,M$78-$S91+1-$B$22&lt;=8),INDEX($C$27:$J$27,1,M$78-$S91+1-$B$22),0)*$U91*M$79</f>
        <v>0</v>
      </c>
      <c r="N91" s="22" t="n">
        <f aca="false">IF(AND(N$78-$S91+1-$B$22&gt;=1,N$78-$S91+1-$B$22&lt;=8),INDEX($C$27:$J$27,1,N$78-$S91+1-$B$22),0)*$U91*N$79</f>
        <v>0</v>
      </c>
      <c r="O91" s="22" t="n">
        <f aca="false">IF(AND(O$78-$S91+1-$B$22&gt;=1,O$78-$S91+1-$B$22&lt;=8),INDEX($C$27:$J$27,1,O$78-$S91+1-$B$22),0)*$U91*O$79</f>
        <v>0</v>
      </c>
      <c r="P91" s="22" t="n">
        <f aca="false">IF(AND(P$78-$S91+1-$B$22&gt;=1,P$78-$S91+1-$B$22&lt;=8),INDEX($C$27:$J$27,1,P$78-$S91+1-$B$22),0)*$U91*P$79</f>
        <v>0</v>
      </c>
      <c r="Q91" s="22" t="n">
        <f aca="false">IF(AND(Q$78-$S91+1-$B$22&gt;=1,Q$78-$S91+1-$B$22&lt;=8),INDEX($C$27:$J$27,1,Q$78-$S91+1-$B$22),0)*$U91*Q$79</f>
        <v>0</v>
      </c>
      <c r="S91" s="23" t="n">
        <f aca="false">$B$20+4</f>
        <v>2031</v>
      </c>
      <c r="T91" s="22" t="n">
        <f aca="false">IF($S91&gt;$B$20+Scenarios!$D$8-1,0,$B$19*(1+$B$21*Scenarios!$D$7)^4)</f>
        <v>168826.3215</v>
      </c>
      <c r="U91" s="24" t="n">
        <f aca="false">IFERROR($T91/INDEX($C$79:$Q$79,1,MATCH($S91,$C$78:$Q$78,0)),0)</f>
        <v>802.47222641711</v>
      </c>
      <c r="V91" s="24" t="n">
        <f aca="false">SUMPRODUCT(($C$25:$J$25&lt;=$Q$78-$S91+1-$B$22)*$C$27:$J$27)*$U91</f>
        <v>802.47222641711</v>
      </c>
      <c r="W91" s="24" t="n">
        <f aca="false">$U91-$V91</f>
        <v>0</v>
      </c>
    </row>
    <row r="92" customFormat="false" ht="15" hidden="false" customHeight="false" outlineLevel="0" collapsed="false">
      <c r="A92" s="2" t="s">
        <v>119</v>
      </c>
      <c r="C92" s="22" t="n">
        <f aca="false">IF(AND(C$78-$S92+1-$B$22&gt;=1,C$78-$S92+1-$B$22&lt;=8),INDEX($C$27:$J$27,1,C$78-$S92+1-$B$22),0)*$U92*C$79</f>
        <v>0</v>
      </c>
      <c r="D92" s="22" t="n">
        <f aca="false">IF(AND(D$78-$S92+1-$B$22&gt;=1,D$78-$S92+1-$B$22&lt;=8),INDEX($C$27:$J$27,1,D$78-$S92+1-$B$22),0)*$U92*D$79</f>
        <v>0</v>
      </c>
      <c r="E92" s="22" t="n">
        <f aca="false">IF(AND(E$78-$S92+1-$B$22&gt;=1,E$78-$S92+1-$B$22&lt;=8),INDEX($C$27:$J$27,1,E$78-$S92+1-$B$22),0)*$U92*E$79</f>
        <v>0</v>
      </c>
      <c r="F92" s="22" t="n">
        <f aca="false">IF(AND(F$78-$S92+1-$B$22&gt;=1,F$78-$S92+1-$B$22&lt;=8),INDEX($C$27:$J$27,1,F$78-$S92+1-$B$22),0)*$U92*F$79</f>
        <v>0</v>
      </c>
      <c r="G92" s="22" t="n">
        <f aca="false">IF(AND(G$78-$S92+1-$B$22&gt;=1,G$78-$S92+1-$B$22&lt;=8),INDEX($C$27:$J$27,1,G$78-$S92+1-$B$22),0)*$U92*G$79</f>
        <v>0</v>
      </c>
      <c r="H92" s="22" t="n">
        <f aca="false">IF(AND(H$78-$S92+1-$B$22&gt;=1,H$78-$S92+1-$B$22&lt;=8),INDEX($C$27:$J$27,1,H$78-$S92+1-$B$22),0)*$U92*H$79</f>
        <v>0</v>
      </c>
      <c r="I92" s="22" t="n">
        <f aca="false">IF(AND(I$78-$S92+1-$B$22&gt;=1,I$78-$S92+1-$B$22&lt;=8),INDEX($C$27:$J$27,1,I$78-$S92+1-$B$22),0)*$U92*I$79</f>
        <v>0</v>
      </c>
      <c r="J92" s="22" t="n">
        <f aca="false">IF(AND(J$78-$S92+1-$B$22&gt;=1,J$78-$S92+1-$B$22&lt;=8),INDEX($C$27:$J$27,1,J$78-$S92+1-$B$22),0)*$U92*J$79</f>
        <v>46515.8722312875</v>
      </c>
      <c r="K92" s="22" t="n">
        <f aca="false">IF(AND(K$78-$S92+1-$B$22&gt;=1,K$78-$S92+1-$B$22&lt;=8),INDEX($C$27:$J$27,1,K$78-$S92+1-$B$22),0)*$U92*K$79</f>
        <v>49771.9832874776</v>
      </c>
      <c r="L92" s="22" t="n">
        <f aca="false">IF(AND(L$78-$S92+1-$B$22&gt;=1,L$78-$S92+1-$B$22&lt;=8),INDEX($C$27:$J$27,1,L$78-$S92+1-$B$22),0)*$U92*L$79</f>
        <v>53256.0221176011</v>
      </c>
      <c r="M92" s="22" t="n">
        <f aca="false">IF(AND(M$78-$S92+1-$B$22&gt;=1,M$78-$S92+1-$B$22&lt;=8),INDEX($C$27:$J$27,1,M$78-$S92+1-$B$22),0)*$U92*M$79</f>
        <v>56983.9436658332</v>
      </c>
      <c r="N92" s="22" t="n">
        <f aca="false">IF(AND(N$78-$S92+1-$B$22&gt;=1,N$78-$S92+1-$B$22&lt;=8),INDEX($C$27:$J$27,1,N$78-$S92+1-$B$22),0)*$U92*N$79</f>
        <v>0</v>
      </c>
      <c r="O92" s="22" t="n">
        <f aca="false">IF(AND(O$78-$S92+1-$B$22&gt;=1,O$78-$S92+1-$B$22&lt;=8),INDEX($C$27:$J$27,1,O$78-$S92+1-$B$22),0)*$U92*O$79</f>
        <v>0</v>
      </c>
      <c r="P92" s="22" t="n">
        <f aca="false">IF(AND(P$78-$S92+1-$B$22&gt;=1,P$78-$S92+1-$B$22&lt;=8),INDEX($C$27:$J$27,1,P$78-$S92+1-$B$22),0)*$U92*P$79</f>
        <v>0</v>
      </c>
      <c r="Q92" s="22" t="n">
        <f aca="false">IF(AND(Q$78-$S92+1-$B$22&gt;=1,Q$78-$S92+1-$B$22&lt;=8),INDEX($C$27:$J$27,1,Q$78-$S92+1-$B$22),0)*$U92*Q$79</f>
        <v>0</v>
      </c>
      <c r="S92" s="23" t="n">
        <f aca="false">$B$20+5</f>
        <v>2032</v>
      </c>
      <c r="T92" s="22" t="n">
        <f aca="false">IF($S92&gt;$B$20+Scenarios!$D$8-1,0,$B$19*(1+$B$21*Scenarios!$D$7)^5)</f>
        <v>173891.111145</v>
      </c>
      <c r="U92" s="24" t="n">
        <f aca="false">IFERROR($T92/INDEX($C$79:$Q$79,1,MATCH($S92,$C$78:$Q$78,0)),0)</f>
        <v>772.473264681891</v>
      </c>
      <c r="V92" s="24" t="n">
        <f aca="false">SUMPRODUCT(($C$25:$J$25&lt;=$Q$78-$S92+1-$B$22)*$C$27:$J$27)*$U92</f>
        <v>772.473264681891</v>
      </c>
      <c r="W92" s="24" t="n">
        <f aca="false">$U92-$V92</f>
        <v>0</v>
      </c>
    </row>
    <row r="93" customFormat="false" ht="15" hidden="false" customHeight="false" outlineLevel="0" collapsed="false">
      <c r="A93" s="2" t="s">
        <v>120</v>
      </c>
      <c r="C93" s="22" t="n">
        <f aca="false">IF(AND(C$78-$S93+1-$B$22&gt;=1,C$78-$S93+1-$B$22&lt;=8),INDEX($C$27:$J$27,1,C$78-$S93+1-$B$22),0)*$U93*C$79</f>
        <v>0</v>
      </c>
      <c r="D93" s="22" t="n">
        <f aca="false">IF(AND(D$78-$S93+1-$B$22&gt;=1,D$78-$S93+1-$B$22&lt;=8),INDEX($C$27:$J$27,1,D$78-$S93+1-$B$22),0)*$U93*D$79</f>
        <v>0</v>
      </c>
      <c r="E93" s="22" t="n">
        <f aca="false">IF(AND(E$78-$S93+1-$B$22&gt;=1,E$78-$S93+1-$B$22&lt;=8),INDEX($C$27:$J$27,1,E$78-$S93+1-$B$22),0)*$U93*E$79</f>
        <v>0</v>
      </c>
      <c r="F93" s="22" t="n">
        <f aca="false">IF(AND(F$78-$S93+1-$B$22&gt;=1,F$78-$S93+1-$B$22&lt;=8),INDEX($C$27:$J$27,1,F$78-$S93+1-$B$22),0)*$U93*F$79</f>
        <v>0</v>
      </c>
      <c r="G93" s="22" t="n">
        <f aca="false">IF(AND(G$78-$S93+1-$B$22&gt;=1,G$78-$S93+1-$B$22&lt;=8),INDEX($C$27:$J$27,1,G$78-$S93+1-$B$22),0)*$U93*G$79</f>
        <v>0</v>
      </c>
      <c r="H93" s="22" t="n">
        <f aca="false">IF(AND(H$78-$S93+1-$B$22&gt;=1,H$78-$S93+1-$B$22&lt;=8),INDEX($C$27:$J$27,1,H$78-$S93+1-$B$22),0)*$U93*H$79</f>
        <v>0</v>
      </c>
      <c r="I93" s="22" t="n">
        <f aca="false">IF(AND(I$78-$S93+1-$B$22&gt;=1,I$78-$S93+1-$B$22&lt;=8),INDEX($C$27:$J$27,1,I$78-$S93+1-$B$22),0)*$U93*I$79</f>
        <v>0</v>
      </c>
      <c r="J93" s="22" t="n">
        <f aca="false">IF(AND(J$78-$S93+1-$B$22&gt;=1,J$78-$S93+1-$B$22&lt;=8),INDEX($C$27:$J$27,1,J$78-$S93+1-$B$22),0)*$U93*J$79</f>
        <v>0</v>
      </c>
      <c r="K93" s="22" t="n">
        <f aca="false">IF(AND(K$78-$S93+1-$B$22&gt;=1,K$78-$S93+1-$B$22&lt;=8),INDEX($C$27:$J$27,1,K$78-$S93+1-$B$22),0)*$U93*K$79</f>
        <v>47911.3483982261</v>
      </c>
      <c r="L93" s="22" t="n">
        <f aca="false">IF(AND(L$78-$S93+1-$B$22&gt;=1,L$78-$S93+1-$B$22&lt;=8),INDEX($C$27:$J$27,1,L$78-$S93+1-$B$22),0)*$U93*L$79</f>
        <v>51265.142786102</v>
      </c>
      <c r="M93" s="22" t="n">
        <f aca="false">IF(AND(M$78-$S93+1-$B$22&gt;=1,M$78-$S93+1-$B$22&lt;=8),INDEX($C$27:$J$27,1,M$78-$S93+1-$B$22),0)*$U93*M$79</f>
        <v>54853.7027811291</v>
      </c>
      <c r="N93" s="22" t="n">
        <f aca="false">IF(AND(N$78-$S93+1-$B$22&gt;=1,N$78-$S93+1-$B$22&lt;=8),INDEX($C$27:$J$27,1,N$78-$S93+1-$B$22),0)*$U93*N$79</f>
        <v>58693.4619758082</v>
      </c>
      <c r="O93" s="22" t="n">
        <f aca="false">IF(AND(O$78-$S93+1-$B$22&gt;=1,O$78-$S93+1-$B$22&lt;=8),INDEX($C$27:$J$27,1,O$78-$S93+1-$B$22),0)*$U93*O$79</f>
        <v>0</v>
      </c>
      <c r="P93" s="22" t="n">
        <f aca="false">IF(AND(P$78-$S93+1-$B$22&gt;=1,P$78-$S93+1-$B$22&lt;=8),INDEX($C$27:$J$27,1,P$78-$S93+1-$B$22),0)*$U93*P$79</f>
        <v>0</v>
      </c>
      <c r="Q93" s="22" t="n">
        <f aca="false">IF(AND(Q$78-$S93+1-$B$22&gt;=1,Q$78-$S93+1-$B$22&lt;=8),INDEX($C$27:$J$27,1,Q$78-$S93+1-$B$22),0)*$U93*Q$79</f>
        <v>0</v>
      </c>
      <c r="S93" s="23" t="n">
        <f aca="false">$B$20+6</f>
        <v>2033</v>
      </c>
      <c r="T93" s="22" t="n">
        <f aca="false">IF($S93&gt;$B$20+Scenarios!$D$8-1,0,$B$19*(1+$B$21*Scenarios!$D$7)^6)</f>
        <v>179107.84447935</v>
      </c>
      <c r="U93" s="24" t="n">
        <f aca="false">IFERROR($T93/INDEX($C$79:$Q$79,1,MATCH($S93,$C$78:$Q$78,0)),0)</f>
        <v>743.595759460138</v>
      </c>
      <c r="V93" s="24" t="n">
        <f aca="false">SUMPRODUCT(($C$25:$J$25&lt;=$Q$78-$S93+1-$B$22)*$C$27:$J$27)*$U93</f>
        <v>743.595759460138</v>
      </c>
      <c r="W93" s="24" t="n">
        <f aca="false">$U93-$V93</f>
        <v>0</v>
      </c>
    </row>
    <row r="94" customFormat="false" ht="15" hidden="false" customHeight="false" outlineLevel="0" collapsed="false">
      <c r="A94" s="2" t="s">
        <v>121</v>
      </c>
      <c r="C94" s="22" t="n">
        <f aca="false">IF(AND(C$78-$S94+1-$B$22&gt;=1,C$78-$S94+1-$B$22&lt;=8),INDEX($C$27:$J$27,1,C$78-$S94+1-$B$22),0)*$U94*C$79</f>
        <v>0</v>
      </c>
      <c r="D94" s="22" t="n">
        <f aca="false">IF(AND(D$78-$S94+1-$B$22&gt;=1,D$78-$S94+1-$B$22&lt;=8),INDEX($C$27:$J$27,1,D$78-$S94+1-$B$22),0)*$U94*D$79</f>
        <v>0</v>
      </c>
      <c r="E94" s="22" t="n">
        <f aca="false">IF(AND(E$78-$S94+1-$B$22&gt;=1,E$78-$S94+1-$B$22&lt;=8),INDEX($C$27:$J$27,1,E$78-$S94+1-$B$22),0)*$U94*E$79</f>
        <v>0</v>
      </c>
      <c r="F94" s="22" t="n">
        <f aca="false">IF(AND(F$78-$S94+1-$B$22&gt;=1,F$78-$S94+1-$B$22&lt;=8),INDEX($C$27:$J$27,1,F$78-$S94+1-$B$22),0)*$U94*F$79</f>
        <v>0</v>
      </c>
      <c r="G94" s="22" t="n">
        <f aca="false">IF(AND(G$78-$S94+1-$B$22&gt;=1,G$78-$S94+1-$B$22&lt;=8),INDEX($C$27:$J$27,1,G$78-$S94+1-$B$22),0)*$U94*G$79</f>
        <v>0</v>
      </c>
      <c r="H94" s="22" t="n">
        <f aca="false">IF(AND(H$78-$S94+1-$B$22&gt;=1,H$78-$S94+1-$B$22&lt;=8),INDEX($C$27:$J$27,1,H$78-$S94+1-$B$22),0)*$U94*H$79</f>
        <v>0</v>
      </c>
      <c r="I94" s="22" t="n">
        <f aca="false">IF(AND(I$78-$S94+1-$B$22&gt;=1,I$78-$S94+1-$B$22&lt;=8),INDEX($C$27:$J$27,1,I$78-$S94+1-$B$22),0)*$U94*I$79</f>
        <v>0</v>
      </c>
      <c r="J94" s="22" t="n">
        <f aca="false">IF(AND(J$78-$S94+1-$B$22&gt;=1,J$78-$S94+1-$B$22&lt;=8),INDEX($C$27:$J$27,1,J$78-$S94+1-$B$22),0)*$U94*J$79</f>
        <v>0</v>
      </c>
      <c r="K94" s="22" t="n">
        <f aca="false">IF(AND(K$78-$S94+1-$B$22&gt;=1,K$78-$S94+1-$B$22&lt;=8),INDEX($C$27:$J$27,1,K$78-$S94+1-$B$22),0)*$U94*K$79</f>
        <v>0</v>
      </c>
      <c r="L94" s="22" t="n">
        <f aca="false">IF(AND(L$78-$S94+1-$B$22&gt;=1,L$78-$S94+1-$B$22&lt;=8),INDEX($C$27:$J$27,1,L$78-$S94+1-$B$22),0)*$U94*L$79</f>
        <v>49348.6888501729</v>
      </c>
      <c r="M94" s="22" t="n">
        <f aca="false">IF(AND(M$78-$S94+1-$B$22&gt;=1,M$78-$S94+1-$B$22&lt;=8),INDEX($C$27:$J$27,1,M$78-$S94+1-$B$22),0)*$U94*M$79</f>
        <v>52803.097069685</v>
      </c>
      <c r="N94" s="22" t="n">
        <f aca="false">IF(AND(N$78-$S94+1-$B$22&gt;=1,N$78-$S94+1-$B$22&lt;=8),INDEX($C$27:$J$27,1,N$78-$S94+1-$B$22),0)*$U94*N$79</f>
        <v>56499.313864563</v>
      </c>
      <c r="O94" s="22" t="n">
        <f aca="false">IF(AND(O$78-$S94+1-$B$22&gt;=1,O$78-$S94+1-$B$22&lt;=8),INDEX($C$27:$J$27,1,O$78-$S94+1-$B$22),0)*$U94*O$79</f>
        <v>60454.2658350824</v>
      </c>
      <c r="P94" s="22" t="n">
        <f aca="false">IF(AND(P$78-$S94+1-$B$22&gt;=1,P$78-$S94+1-$B$22&lt;=8),INDEX($C$27:$J$27,1,P$78-$S94+1-$B$22),0)*$U94*P$79</f>
        <v>0</v>
      </c>
      <c r="Q94" s="22" t="n">
        <f aca="false">IF(AND(Q$78-$S94+1-$B$22&gt;=1,Q$78-$S94+1-$B$22&lt;=8),INDEX($C$27:$J$27,1,Q$78-$S94+1-$B$22),0)*$U94*Q$79</f>
        <v>0</v>
      </c>
      <c r="S94" s="23" t="n">
        <f aca="false">$B$20+7</f>
        <v>2034</v>
      </c>
      <c r="T94" s="22" t="n">
        <f aca="false">IF($S94&gt;$B$20+Scenarios!$D$8-1,0,$B$19*(1+$B$21*Scenarios!$D$7)^7)</f>
        <v>184481.079813731</v>
      </c>
      <c r="U94" s="24" t="n">
        <f aca="false">IFERROR($T94/INDEX($C$79:$Q$79,1,MATCH($S94,$C$78:$Q$78,0)),0)</f>
        <v>715.797787143871</v>
      </c>
      <c r="V94" s="24" t="n">
        <f aca="false">SUMPRODUCT(($C$25:$J$25&lt;=$Q$78-$S94+1-$B$22)*$C$27:$J$27)*$U94</f>
        <v>715.797787143871</v>
      </c>
      <c r="W94" s="24" t="n">
        <f aca="false">$U94-$V94</f>
        <v>0</v>
      </c>
    </row>
    <row r="95" customFormat="false" ht="15" hidden="false" customHeight="false" outlineLevel="0" collapsed="false">
      <c r="A95" s="2" t="s">
        <v>122</v>
      </c>
      <c r="C95" s="22" t="n">
        <f aca="false">IF(AND(C$78-$S95+1-$B$22&gt;=1,C$78-$S95+1-$B$22&lt;=8),INDEX($C$27:$J$27,1,C$78-$S95+1-$B$22),0)*$U95*C$79</f>
        <v>0</v>
      </c>
      <c r="D95" s="22" t="n">
        <f aca="false">IF(AND(D$78-$S95+1-$B$22&gt;=1,D$78-$S95+1-$B$22&lt;=8),INDEX($C$27:$J$27,1,D$78-$S95+1-$B$22),0)*$U95*D$79</f>
        <v>0</v>
      </c>
      <c r="E95" s="22" t="n">
        <f aca="false">IF(AND(E$78-$S95+1-$B$22&gt;=1,E$78-$S95+1-$B$22&lt;=8),INDEX($C$27:$J$27,1,E$78-$S95+1-$B$22),0)*$U95*E$79</f>
        <v>0</v>
      </c>
      <c r="F95" s="22" t="n">
        <f aca="false">IF(AND(F$78-$S95+1-$B$22&gt;=1,F$78-$S95+1-$B$22&lt;=8),INDEX($C$27:$J$27,1,F$78-$S95+1-$B$22),0)*$U95*F$79</f>
        <v>0</v>
      </c>
      <c r="G95" s="22" t="n">
        <f aca="false">IF(AND(G$78-$S95+1-$B$22&gt;=1,G$78-$S95+1-$B$22&lt;=8),INDEX($C$27:$J$27,1,G$78-$S95+1-$B$22),0)*$U95*G$79</f>
        <v>0</v>
      </c>
      <c r="H95" s="22" t="n">
        <f aca="false">IF(AND(H$78-$S95+1-$B$22&gt;=1,H$78-$S95+1-$B$22&lt;=8),INDEX($C$27:$J$27,1,H$78-$S95+1-$B$22),0)*$U95*H$79</f>
        <v>0</v>
      </c>
      <c r="I95" s="22" t="n">
        <f aca="false">IF(AND(I$78-$S95+1-$B$22&gt;=1,I$78-$S95+1-$B$22&lt;=8),INDEX($C$27:$J$27,1,I$78-$S95+1-$B$22),0)*$U95*I$79</f>
        <v>0</v>
      </c>
      <c r="J95" s="22" t="n">
        <f aca="false">IF(AND(J$78-$S95+1-$B$22&gt;=1,J$78-$S95+1-$B$22&lt;=8),INDEX($C$27:$J$27,1,J$78-$S95+1-$B$22),0)*$U95*J$79</f>
        <v>0</v>
      </c>
      <c r="K95" s="22" t="n">
        <f aca="false">IF(AND(K$78-$S95+1-$B$22&gt;=1,K$78-$S95+1-$B$22&lt;=8),INDEX($C$27:$J$27,1,K$78-$S95+1-$B$22),0)*$U95*K$79</f>
        <v>0</v>
      </c>
      <c r="L95" s="22" t="n">
        <f aca="false">IF(AND(L$78-$S95+1-$B$22&gt;=1,L$78-$S95+1-$B$22&lt;=8),INDEX($C$27:$J$27,1,L$78-$S95+1-$B$22),0)*$U95*L$79</f>
        <v>0</v>
      </c>
      <c r="M95" s="22" t="n">
        <f aca="false">IF(AND(M$78-$S95+1-$B$22&gt;=1,M$78-$S95+1-$B$22&lt;=8),INDEX($C$27:$J$27,1,M$78-$S95+1-$B$22),0)*$U95*M$79</f>
        <v>50829.1495156781</v>
      </c>
      <c r="N95" s="22" t="n">
        <f aca="false">IF(AND(N$78-$S95+1-$B$22&gt;=1,N$78-$S95+1-$B$22&lt;=8),INDEX($C$27:$J$27,1,N$78-$S95+1-$B$22),0)*$U95*N$79</f>
        <v>54387.1899817756</v>
      </c>
      <c r="O95" s="22" t="n">
        <f aca="false">IF(AND(O$78-$S95+1-$B$22&gt;=1,O$78-$S95+1-$B$22&lt;=8),INDEX($C$27:$J$27,1,O$78-$S95+1-$B$22),0)*$U95*O$79</f>
        <v>58194.2932804999</v>
      </c>
      <c r="P95" s="22" t="n">
        <f aca="false">IF(AND(P$78-$S95+1-$B$22&gt;=1,P$78-$S95+1-$B$22&lt;=8),INDEX($C$27:$J$27,1,P$78-$S95+1-$B$22),0)*$U95*P$79</f>
        <v>62267.8938101349</v>
      </c>
      <c r="Q95" s="22" t="n">
        <f aca="false">IF(AND(Q$78-$S95+1-$B$22&gt;=1,Q$78-$S95+1-$B$22&lt;=8),INDEX($C$27:$J$27,1,Q$78-$S95+1-$B$22),0)*$U95*Q$79</f>
        <v>0</v>
      </c>
      <c r="S95" s="23" t="n">
        <f aca="false">$B$20+8</f>
        <v>2035</v>
      </c>
      <c r="T95" s="22" t="n">
        <f aca="false">IF($S95&gt;$B$20+Scenarios!$D$8-1,0,$B$19*(1+$B$21*Scenarios!$D$7)^8)</f>
        <v>190015.512208142</v>
      </c>
      <c r="U95" s="24" t="n">
        <f aca="false">IFERROR($T95/INDEX($C$79:$Q$79,1,MATCH($S95,$C$78:$Q$78,0)),0)</f>
        <v>689.038991362792</v>
      </c>
      <c r="V95" s="24" t="n">
        <f aca="false">SUMPRODUCT(($C$25:$J$25&lt;=$Q$78-$S95+1-$B$22)*$C$27:$J$27)*$U95</f>
        <v>689.038991362792</v>
      </c>
      <c r="W95" s="24" t="n">
        <f aca="false">$U95-$V95</f>
        <v>0</v>
      </c>
    </row>
    <row r="96" customFormat="false" ht="15" hidden="false" customHeight="false" outlineLevel="0" collapsed="false">
      <c r="A96" s="2" t="s">
        <v>123</v>
      </c>
      <c r="C96" s="22" t="n">
        <f aca="false">IF(AND(C$78-$S96+1-$B$22&gt;=1,C$78-$S96+1-$B$22&lt;=8),INDEX($C$27:$J$27,1,C$78-$S96+1-$B$22),0)*$U96*C$79</f>
        <v>0</v>
      </c>
      <c r="D96" s="22" t="n">
        <f aca="false">IF(AND(D$78-$S96+1-$B$22&gt;=1,D$78-$S96+1-$B$22&lt;=8),INDEX($C$27:$J$27,1,D$78-$S96+1-$B$22),0)*$U96*D$79</f>
        <v>0</v>
      </c>
      <c r="E96" s="22" t="n">
        <f aca="false">IF(AND(E$78-$S96+1-$B$22&gt;=1,E$78-$S96+1-$B$22&lt;=8),INDEX($C$27:$J$27,1,E$78-$S96+1-$B$22),0)*$U96*E$79</f>
        <v>0</v>
      </c>
      <c r="F96" s="22" t="n">
        <f aca="false">IF(AND(F$78-$S96+1-$B$22&gt;=1,F$78-$S96+1-$B$22&lt;=8),INDEX($C$27:$J$27,1,F$78-$S96+1-$B$22),0)*$U96*F$79</f>
        <v>0</v>
      </c>
      <c r="G96" s="22" t="n">
        <f aca="false">IF(AND(G$78-$S96+1-$B$22&gt;=1,G$78-$S96+1-$B$22&lt;=8),INDEX($C$27:$J$27,1,G$78-$S96+1-$B$22),0)*$U96*G$79</f>
        <v>0</v>
      </c>
      <c r="H96" s="22" t="n">
        <f aca="false">IF(AND(H$78-$S96+1-$B$22&gt;=1,H$78-$S96+1-$B$22&lt;=8),INDEX($C$27:$J$27,1,H$78-$S96+1-$B$22),0)*$U96*H$79</f>
        <v>0</v>
      </c>
      <c r="I96" s="22" t="n">
        <f aca="false">IF(AND(I$78-$S96+1-$B$22&gt;=1,I$78-$S96+1-$B$22&lt;=8),INDEX($C$27:$J$27,1,I$78-$S96+1-$B$22),0)*$U96*I$79</f>
        <v>0</v>
      </c>
      <c r="J96" s="22" t="n">
        <f aca="false">IF(AND(J$78-$S96+1-$B$22&gt;=1,J$78-$S96+1-$B$22&lt;=8),INDEX($C$27:$J$27,1,J$78-$S96+1-$B$22),0)*$U96*J$79</f>
        <v>0</v>
      </c>
      <c r="K96" s="22" t="n">
        <f aca="false">IF(AND(K$78-$S96+1-$B$22&gt;=1,K$78-$S96+1-$B$22&lt;=8),INDEX($C$27:$J$27,1,K$78-$S96+1-$B$22),0)*$U96*K$79</f>
        <v>0</v>
      </c>
      <c r="L96" s="22" t="n">
        <f aca="false">IF(AND(L$78-$S96+1-$B$22&gt;=1,L$78-$S96+1-$B$22&lt;=8),INDEX($C$27:$J$27,1,L$78-$S96+1-$B$22),0)*$U96*L$79</f>
        <v>0</v>
      </c>
      <c r="M96" s="22" t="n">
        <f aca="false">IF(AND(M$78-$S96+1-$B$22&gt;=1,M$78-$S96+1-$B$22&lt;=8),INDEX($C$27:$J$27,1,M$78-$S96+1-$B$22),0)*$U96*M$79</f>
        <v>0</v>
      </c>
      <c r="N96" s="22" t="n">
        <f aca="false">IF(AND(N$78-$S96+1-$B$22&gt;=1,N$78-$S96+1-$B$22&lt;=8),INDEX($C$27:$J$27,1,N$78-$S96+1-$B$22),0)*$U96*N$79</f>
        <v>52354.0240011485</v>
      </c>
      <c r="O96" s="22" t="n">
        <f aca="false">IF(AND(O$78-$S96+1-$B$22&gt;=1,O$78-$S96+1-$B$22&lt;=8),INDEX($C$27:$J$27,1,O$78-$S96+1-$B$22),0)*$U96*O$79</f>
        <v>56018.8056812288</v>
      </c>
      <c r="P96" s="22" t="n">
        <f aca="false">IF(AND(P$78-$S96+1-$B$22&gt;=1,P$78-$S96+1-$B$22&lt;=8),INDEX($C$27:$J$27,1,P$78-$S96+1-$B$22),0)*$U96*P$79</f>
        <v>59940.1220789149</v>
      </c>
      <c r="Q96" s="22" t="n">
        <f aca="false">IF(AND(Q$78-$S96+1-$B$22&gt;=1,Q$78-$S96+1-$B$22&lt;=8),INDEX($C$27:$J$27,1,Q$78-$S96+1-$B$22),0)*$U96*Q$79</f>
        <v>64135.9306244389</v>
      </c>
      <c r="S96" s="23" t="n">
        <f aca="false">$B$20+9</f>
        <v>2036</v>
      </c>
      <c r="T96" s="22" t="n">
        <f aca="false">IF($S96&gt;$B$20+Scenarios!$D$8-1,0,$B$19*(1+$B$21*Scenarios!$D$7)^9)</f>
        <v>195715.977574387</v>
      </c>
      <c r="U96" s="24" t="n">
        <f aca="false">IFERROR($T96/INDEX($C$79:$Q$79,1,MATCH($S96,$C$78:$Q$78,0)),0)</f>
        <v>663.280524395958</v>
      </c>
      <c r="V96" s="24" t="n">
        <f aca="false">SUMPRODUCT(($C$25:$J$25&lt;=$Q$78-$S96+1-$B$22)*$C$27:$J$27)*$U96</f>
        <v>663.280524395958</v>
      </c>
      <c r="W96" s="24" t="n">
        <f aca="false">$U96-$V96</f>
        <v>0</v>
      </c>
    </row>
    <row r="97" customFormat="false" ht="15" hidden="false" customHeight="false" outlineLevel="0" collapsed="false">
      <c r="A97" s="2" t="s">
        <v>124</v>
      </c>
      <c r="C97" s="22" t="n">
        <f aca="false">IF(AND(C$78-$S97+1-$B$22&gt;=1,C$78-$S97+1-$B$22&lt;=8),INDEX($C$27:$J$27,1,C$78-$S97+1-$B$22),0)*$U97*C$79</f>
        <v>0</v>
      </c>
      <c r="D97" s="22" t="n">
        <f aca="false">IF(AND(D$78-$S97+1-$B$22&gt;=1,D$78-$S97+1-$B$22&lt;=8),INDEX($C$27:$J$27,1,D$78-$S97+1-$B$22),0)*$U97*D$79</f>
        <v>0</v>
      </c>
      <c r="E97" s="22" t="n">
        <f aca="false">IF(AND(E$78-$S97+1-$B$22&gt;=1,E$78-$S97+1-$B$22&lt;=8),INDEX($C$27:$J$27,1,E$78-$S97+1-$B$22),0)*$U97*E$79</f>
        <v>0</v>
      </c>
      <c r="F97" s="22" t="n">
        <f aca="false">IF(AND(F$78-$S97+1-$B$22&gt;=1,F$78-$S97+1-$B$22&lt;=8),INDEX($C$27:$J$27,1,F$78-$S97+1-$B$22),0)*$U97*F$79</f>
        <v>0</v>
      </c>
      <c r="G97" s="22" t="n">
        <f aca="false">IF(AND(G$78-$S97+1-$B$22&gt;=1,G$78-$S97+1-$B$22&lt;=8),INDEX($C$27:$J$27,1,G$78-$S97+1-$B$22),0)*$U97*G$79</f>
        <v>0</v>
      </c>
      <c r="H97" s="22" t="n">
        <f aca="false">IF(AND(H$78-$S97+1-$B$22&gt;=1,H$78-$S97+1-$B$22&lt;=8),INDEX($C$27:$J$27,1,H$78-$S97+1-$B$22),0)*$U97*H$79</f>
        <v>0</v>
      </c>
      <c r="I97" s="22" t="n">
        <f aca="false">IF(AND(I$78-$S97+1-$B$22&gt;=1,I$78-$S97+1-$B$22&lt;=8),INDEX($C$27:$J$27,1,I$78-$S97+1-$B$22),0)*$U97*I$79</f>
        <v>0</v>
      </c>
      <c r="J97" s="22" t="n">
        <f aca="false">IF(AND(J$78-$S97+1-$B$22&gt;=1,J$78-$S97+1-$B$22&lt;=8),INDEX($C$27:$J$27,1,J$78-$S97+1-$B$22),0)*$U97*J$79</f>
        <v>0</v>
      </c>
      <c r="K97" s="22" t="n">
        <f aca="false">IF(AND(K$78-$S97+1-$B$22&gt;=1,K$78-$S97+1-$B$22&lt;=8),INDEX($C$27:$J$27,1,K$78-$S97+1-$B$22),0)*$U97*K$79</f>
        <v>0</v>
      </c>
      <c r="L97" s="22" t="n">
        <f aca="false">IF(AND(L$78-$S97+1-$B$22&gt;=1,L$78-$S97+1-$B$22&lt;=8),INDEX($C$27:$J$27,1,L$78-$S97+1-$B$22),0)*$U97*L$79</f>
        <v>0</v>
      </c>
      <c r="M97" s="22" t="n">
        <f aca="false">IF(AND(M$78-$S97+1-$B$22&gt;=1,M$78-$S97+1-$B$22&lt;=8),INDEX($C$27:$J$27,1,M$78-$S97+1-$B$22),0)*$U97*M$79</f>
        <v>0</v>
      </c>
      <c r="N97" s="22" t="n">
        <f aca="false">IF(AND(N$78-$S97+1-$B$22&gt;=1,N$78-$S97+1-$B$22&lt;=8),INDEX($C$27:$J$27,1,N$78-$S97+1-$B$22),0)*$U97*N$79</f>
        <v>0</v>
      </c>
      <c r="O97" s="22" t="n">
        <f aca="false">IF(AND(O$78-$S97+1-$B$22&gt;=1,O$78-$S97+1-$B$22&lt;=8),INDEX($C$27:$J$27,1,O$78-$S97+1-$B$22),0)*$U97*O$79</f>
        <v>53924.6447211829</v>
      </c>
      <c r="P97" s="22" t="n">
        <f aca="false">IF(AND(P$78-$S97+1-$B$22&gt;=1,P$78-$S97+1-$B$22&lt;=8),INDEX($C$27:$J$27,1,P$78-$S97+1-$B$22),0)*$U97*P$79</f>
        <v>57699.3698516657</v>
      </c>
      <c r="Q97" s="22" t="n">
        <f aca="false">IF(AND(Q$78-$S97+1-$B$22&gt;=1,Q$78-$S97+1-$B$22&lt;=8),INDEX($C$27:$J$27,1,Q$78-$S97+1-$B$22),0)*$U97*Q$79</f>
        <v>61738.3257412823</v>
      </c>
      <c r="S97" s="23" t="n">
        <f aca="false">$B$20+10</f>
        <v>2037</v>
      </c>
      <c r="T97" s="22" t="n">
        <f aca="false">IF($S97&gt;$B$20+Scenarios!$D$8-1,0,$B$19*(1+$B$21*Scenarios!$D$7)^10)</f>
        <v>201587.456901618</v>
      </c>
      <c r="U97" s="24" t="n">
        <f aca="false">IFERROR($T97/INDEX($C$79:$Q$79,1,MATCH($S97,$C$78:$Q$78,0)),0)</f>
        <v>638.484990773679</v>
      </c>
      <c r="V97" s="24" t="n">
        <f aca="false">SUMPRODUCT(($C$25:$J$25&lt;=$Q$78-$S97+1-$B$22)*$C$27:$J$27)*$U97</f>
        <v>478.86374308026</v>
      </c>
      <c r="W97" s="24" t="n">
        <f aca="false">$U97-$V97</f>
        <v>159.62124769342</v>
      </c>
    </row>
    <row r="98" customFormat="false" ht="15" hidden="false" customHeight="false" outlineLevel="0" collapsed="false">
      <c r="A98" s="2" t="s">
        <v>125</v>
      </c>
      <c r="C98" s="22" t="n">
        <f aca="false">IF(AND(C$78-$S98+1-$B$22&gt;=1,C$78-$S98+1-$B$22&lt;=8),INDEX($C$27:$J$27,1,C$78-$S98+1-$B$22),0)*$U98*C$79</f>
        <v>0</v>
      </c>
      <c r="D98" s="22" t="n">
        <f aca="false">IF(AND(D$78-$S98+1-$B$22&gt;=1,D$78-$S98+1-$B$22&lt;=8),INDEX($C$27:$J$27,1,D$78-$S98+1-$B$22),0)*$U98*D$79</f>
        <v>0</v>
      </c>
      <c r="E98" s="22" t="n">
        <f aca="false">IF(AND(E$78-$S98+1-$B$22&gt;=1,E$78-$S98+1-$B$22&lt;=8),INDEX($C$27:$J$27,1,E$78-$S98+1-$B$22),0)*$U98*E$79</f>
        <v>0</v>
      </c>
      <c r="F98" s="22" t="n">
        <f aca="false">IF(AND(F$78-$S98+1-$B$22&gt;=1,F$78-$S98+1-$B$22&lt;=8),INDEX($C$27:$J$27,1,F$78-$S98+1-$B$22),0)*$U98*F$79</f>
        <v>0</v>
      </c>
      <c r="G98" s="22" t="n">
        <f aca="false">IF(AND(G$78-$S98+1-$B$22&gt;=1,G$78-$S98+1-$B$22&lt;=8),INDEX($C$27:$J$27,1,G$78-$S98+1-$B$22),0)*$U98*G$79</f>
        <v>0</v>
      </c>
      <c r="H98" s="22" t="n">
        <f aca="false">IF(AND(H$78-$S98+1-$B$22&gt;=1,H$78-$S98+1-$B$22&lt;=8),INDEX($C$27:$J$27,1,H$78-$S98+1-$B$22),0)*$U98*H$79</f>
        <v>0</v>
      </c>
      <c r="I98" s="22" t="n">
        <f aca="false">IF(AND(I$78-$S98+1-$B$22&gt;=1,I$78-$S98+1-$B$22&lt;=8),INDEX($C$27:$J$27,1,I$78-$S98+1-$B$22),0)*$U98*I$79</f>
        <v>0</v>
      </c>
      <c r="J98" s="22" t="n">
        <f aca="false">IF(AND(J$78-$S98+1-$B$22&gt;=1,J$78-$S98+1-$B$22&lt;=8),INDEX($C$27:$J$27,1,J$78-$S98+1-$B$22),0)*$U98*J$79</f>
        <v>0</v>
      </c>
      <c r="K98" s="22" t="n">
        <f aca="false">IF(AND(K$78-$S98+1-$B$22&gt;=1,K$78-$S98+1-$B$22&lt;=8),INDEX($C$27:$J$27,1,K$78-$S98+1-$B$22),0)*$U98*K$79</f>
        <v>0</v>
      </c>
      <c r="L98" s="22" t="n">
        <f aca="false">IF(AND(L$78-$S98+1-$B$22&gt;=1,L$78-$S98+1-$B$22&lt;=8),INDEX($C$27:$J$27,1,L$78-$S98+1-$B$22),0)*$U98*L$79</f>
        <v>0</v>
      </c>
      <c r="M98" s="22" t="n">
        <f aca="false">IF(AND(M$78-$S98+1-$B$22&gt;=1,M$78-$S98+1-$B$22&lt;=8),INDEX($C$27:$J$27,1,M$78-$S98+1-$B$22),0)*$U98*M$79</f>
        <v>0</v>
      </c>
      <c r="N98" s="22" t="n">
        <f aca="false">IF(AND(N$78-$S98+1-$B$22&gt;=1,N$78-$S98+1-$B$22&lt;=8),INDEX($C$27:$J$27,1,N$78-$S98+1-$B$22),0)*$U98*N$79</f>
        <v>0</v>
      </c>
      <c r="O98" s="22" t="n">
        <f aca="false">IF(AND(O$78-$S98+1-$B$22&gt;=1,O$78-$S98+1-$B$22&lt;=8),INDEX($C$27:$J$27,1,O$78-$S98+1-$B$22),0)*$U98*O$79</f>
        <v>0</v>
      </c>
      <c r="P98" s="22" t="n">
        <f aca="false">IF(AND(P$78-$S98+1-$B$22&gt;=1,P$78-$S98+1-$B$22&lt;=8),INDEX($C$27:$J$27,1,P$78-$S98+1-$B$22),0)*$U98*P$79</f>
        <v>55542.3840628184</v>
      </c>
      <c r="Q98" s="22" t="n">
        <f aca="false">IF(AND(Q$78-$S98+1-$B$22&gt;=1,Q$78-$S98+1-$B$22&lt;=8),INDEX($C$27:$J$27,1,Q$78-$S98+1-$B$22),0)*$U98*Q$79</f>
        <v>59430.3509472157</v>
      </c>
      <c r="S98" s="23" t="n">
        <f aca="false">$B$20+11</f>
        <v>2038</v>
      </c>
      <c r="T98" s="22" t="n">
        <f aca="false">IF($S98&gt;$B$20+Scenarios!$D$8-1,0,$B$19*(1+$B$21*Scenarios!$D$7)^11)</f>
        <v>207635.080608667</v>
      </c>
      <c r="U98" s="24" t="n">
        <f aca="false">IFERROR($T98/INDEX($C$79:$Q$79,1,MATCH($S98,$C$78:$Q$78,0)),0)</f>
        <v>614.616392987748</v>
      </c>
      <c r="V98" s="24" t="n">
        <f aca="false">SUMPRODUCT(($C$25:$J$25&lt;=$Q$78-$S98+1-$B$22)*$C$27:$J$27)*$U98</f>
        <v>307.308196493874</v>
      </c>
      <c r="W98" s="24" t="n">
        <f aca="false">$U98-$V98</f>
        <v>307.308196493874</v>
      </c>
    </row>
    <row r="100" customFormat="false" ht="15" hidden="false" customHeight="false" outlineLevel="0" collapsed="false">
      <c r="A100" s="2" t="s">
        <v>126</v>
      </c>
      <c r="C100" s="22" t="n">
        <f aca="false">C86</f>
        <v>0</v>
      </c>
      <c r="D100" s="22" t="n">
        <f aca="false">D86</f>
        <v>171200</v>
      </c>
      <c r="E100" s="22" t="n">
        <f aca="false">E86</f>
        <v>128228.8</v>
      </c>
      <c r="F100" s="22" t="n">
        <f aca="false">F86</f>
        <v>98003.44</v>
      </c>
      <c r="G100" s="22" t="n">
        <f aca="false">G86</f>
        <v>62918.20848</v>
      </c>
      <c r="H100" s="22" t="n">
        <f aca="false">H86</f>
        <v>0</v>
      </c>
      <c r="I100" s="22" t="n">
        <f aca="false">I86</f>
        <v>0</v>
      </c>
      <c r="J100" s="22" t="n">
        <f aca="false">J86</f>
        <v>0</v>
      </c>
      <c r="K100" s="22" t="n">
        <f aca="false">K86</f>
        <v>0</v>
      </c>
      <c r="L100" s="22" t="n">
        <f aca="false">L86</f>
        <v>0</v>
      </c>
      <c r="M100" s="22" t="n">
        <f aca="false">M86</f>
        <v>0</v>
      </c>
      <c r="N100" s="22" t="n">
        <f aca="false">N86</f>
        <v>0</v>
      </c>
      <c r="O100" s="22" t="n">
        <f aca="false">O86</f>
        <v>0</v>
      </c>
      <c r="P100" s="22" t="n">
        <f aca="false">P86</f>
        <v>0</v>
      </c>
      <c r="Q100" s="22" t="n">
        <f aca="false">Q86</f>
        <v>0</v>
      </c>
    </row>
    <row r="101" customFormat="false" ht="15" hidden="false" customHeight="false" outlineLevel="0" collapsed="false">
      <c r="A101" s="2" t="s">
        <v>127</v>
      </c>
      <c r="C101" s="22" t="n">
        <f aca="false">SUM(C87:C98)</f>
        <v>0</v>
      </c>
      <c r="D101" s="22" t="n">
        <f aca="false">SUM(D87:D98)</f>
        <v>0</v>
      </c>
      <c r="E101" s="22" t="n">
        <f aca="false">SUM(E87:E98)</f>
        <v>40125</v>
      </c>
      <c r="F101" s="22" t="n">
        <f aca="false">SUM(F87:F98)</f>
        <v>84262.5</v>
      </c>
      <c r="G101" s="22" t="n">
        <f aca="false">SUM(G87:G98)</f>
        <v>132729.4875</v>
      </c>
      <c r="H101" s="22" t="n">
        <f aca="false">SUM(H87:H98)</f>
        <v>185866.2225</v>
      </c>
      <c r="I101" s="22" t="n">
        <f aca="false">SUM(I87:I98)</f>
        <v>191442.209175</v>
      </c>
      <c r="J101" s="22" t="n">
        <f aca="false">SUM(J87:J98)</f>
        <v>197185.47545025</v>
      </c>
      <c r="K101" s="22" t="n">
        <f aca="false">SUM(K87:K98)</f>
        <v>203101.039713758</v>
      </c>
      <c r="L101" s="22" t="n">
        <f aca="false">SUM(L87:L98)</f>
        <v>209194.07090517</v>
      </c>
      <c r="M101" s="22" t="n">
        <f aca="false">SUM(M87:M98)</f>
        <v>215469.893032325</v>
      </c>
      <c r="N101" s="22" t="n">
        <f aca="false">SUM(N87:N98)</f>
        <v>221933.989823295</v>
      </c>
      <c r="O101" s="22" t="n">
        <f aca="false">SUM(O87:O98)</f>
        <v>228592.009517994</v>
      </c>
      <c r="P101" s="22" t="n">
        <f aca="false">SUM(P87:P98)</f>
        <v>235449.769803534</v>
      </c>
      <c r="Q101" s="22" t="n">
        <f aca="false">SUM(Q87:Q98)</f>
        <v>185304.607312937</v>
      </c>
    </row>
    <row r="102" customFormat="false" ht="15" hidden="false" customHeight="false" outlineLevel="0" collapsed="false">
      <c r="A102" s="3" t="s">
        <v>128</v>
      </c>
      <c r="C102" s="25" t="n">
        <f aca="false">C100+C101</f>
        <v>0</v>
      </c>
      <c r="D102" s="25" t="n">
        <f aca="false">D100+D101</f>
        <v>171200</v>
      </c>
      <c r="E102" s="25" t="n">
        <f aca="false">E100+E101</f>
        <v>168353.8</v>
      </c>
      <c r="F102" s="25" t="n">
        <f aca="false">F100+F101</f>
        <v>182265.94</v>
      </c>
      <c r="G102" s="25" t="n">
        <f aca="false">G100+G101</f>
        <v>195647.69598</v>
      </c>
      <c r="H102" s="25" t="n">
        <f aca="false">H100+H101</f>
        <v>185866.2225</v>
      </c>
      <c r="I102" s="25" t="n">
        <f aca="false">I100+I101</f>
        <v>191442.209175</v>
      </c>
      <c r="J102" s="25" t="n">
        <f aca="false">J100+J101</f>
        <v>197185.47545025</v>
      </c>
      <c r="K102" s="25" t="n">
        <f aca="false">K100+K101</f>
        <v>203101.039713758</v>
      </c>
      <c r="L102" s="25" t="n">
        <f aca="false">L100+L101</f>
        <v>209194.07090517</v>
      </c>
      <c r="M102" s="25" t="n">
        <f aca="false">M100+M101</f>
        <v>215469.893032325</v>
      </c>
      <c r="N102" s="25" t="n">
        <f aca="false">N100+N101</f>
        <v>221933.989823295</v>
      </c>
      <c r="O102" s="25" t="n">
        <f aca="false">O100+O101</f>
        <v>228592.009517994</v>
      </c>
      <c r="P102" s="25" t="n">
        <f aca="false">P100+P101</f>
        <v>235449.769803534</v>
      </c>
      <c r="Q102" s="25" t="n">
        <f aca="false">Q100+Q101</f>
        <v>185304.607312937</v>
      </c>
    </row>
    <row r="103" customFormat="false" ht="15" hidden="false" customHeight="false" outlineLevel="0" collapsed="false">
      <c r="A103" s="2" t="s">
        <v>129</v>
      </c>
      <c r="C103" s="23" t="n">
        <f aca="false">SUMPRODUCT((C86:C98&gt;0)*1)</f>
        <v>0</v>
      </c>
      <c r="D103" s="23" t="n">
        <f aca="false">SUMPRODUCT((D86:D98&gt;0)*1)</f>
        <v>1</v>
      </c>
      <c r="E103" s="23" t="n">
        <f aca="false">SUMPRODUCT((E86:E98&gt;0)*1)</f>
        <v>2</v>
      </c>
      <c r="F103" s="23" t="n">
        <f aca="false">SUMPRODUCT((F86:F98&gt;0)*1)</f>
        <v>3</v>
      </c>
      <c r="G103" s="23" t="n">
        <f aca="false">SUMPRODUCT((G86:G98&gt;0)*1)</f>
        <v>4</v>
      </c>
      <c r="H103" s="23" t="n">
        <f aca="false">SUMPRODUCT((H86:H98&gt;0)*1)</f>
        <v>4</v>
      </c>
      <c r="I103" s="23" t="n">
        <f aca="false">SUMPRODUCT((I86:I98&gt;0)*1)</f>
        <v>4</v>
      </c>
      <c r="J103" s="23" t="n">
        <f aca="false">SUMPRODUCT((J86:J98&gt;0)*1)</f>
        <v>4</v>
      </c>
      <c r="K103" s="23" t="n">
        <f aca="false">SUMPRODUCT((K86:K98&gt;0)*1)</f>
        <v>4</v>
      </c>
      <c r="L103" s="23" t="n">
        <f aca="false">SUMPRODUCT((L86:L98&gt;0)*1)</f>
        <v>4</v>
      </c>
      <c r="M103" s="23" t="n">
        <f aca="false">SUMPRODUCT((M86:M98&gt;0)*1)</f>
        <v>4</v>
      </c>
      <c r="N103" s="23" t="n">
        <f aca="false">SUMPRODUCT((N86:N98&gt;0)*1)</f>
        <v>4</v>
      </c>
      <c r="O103" s="23" t="n">
        <f aca="false">SUMPRODUCT((O86:O98&gt;0)*1)</f>
        <v>4</v>
      </c>
      <c r="P103" s="23" t="n">
        <f aca="false">SUMPRODUCT((P86:P98&gt;0)*1)</f>
        <v>4</v>
      </c>
      <c r="Q103" s="23" t="n">
        <f aca="false">SUMPRODUCT((Q86:Q98&gt;0)*1)</f>
        <v>3</v>
      </c>
    </row>
    <row r="105" customFormat="false" ht="15" hidden="false" customHeight="false" outlineLevel="0" collapsed="false">
      <c r="A105" s="3" t="s">
        <v>130</v>
      </c>
      <c r="C105" s="26" t="n">
        <f aca="false">C80+C82+C83+C102</f>
        <v>250000</v>
      </c>
      <c r="D105" s="26" t="n">
        <f aca="false">D80+D82+D83+D102</f>
        <v>472520</v>
      </c>
      <c r="E105" s="26" t="n">
        <f aca="false">E80+E82+E83+E102</f>
        <v>427213.4</v>
      </c>
      <c r="F105" s="26" t="n">
        <f aca="false">F80+F82+F83+F102</f>
        <v>448891.328</v>
      </c>
      <c r="G105" s="26" t="n">
        <f aca="false">G80+G82+G83+G102</f>
        <v>470271.84562</v>
      </c>
      <c r="H105" s="26" t="n">
        <f aca="false">H80+H82+H83+H102</f>
        <v>468729.0966292</v>
      </c>
      <c r="I105" s="26" t="n">
        <f aca="false">I80+I82+I83+I102</f>
        <v>482790.969528076</v>
      </c>
      <c r="J105" s="26" t="n">
        <f aca="false">J80+J82+J83+J102</f>
        <v>497274.698613918</v>
      </c>
      <c r="K105" s="26" t="n">
        <f aca="false">K80+K82+K83+K102</f>
        <v>512192.939572336</v>
      </c>
      <c r="L105" s="26" t="n">
        <f aca="false">L80+L82+L83+L102</f>
        <v>527558.727759506</v>
      </c>
      <c r="M105" s="26" t="n">
        <f aca="false">M80+M82+M83+M102</f>
        <v>543385.489592291</v>
      </c>
      <c r="N105" s="26" t="n">
        <f aca="false">N80+N82+N83+N102</f>
        <v>559687.05428006</v>
      </c>
      <c r="O105" s="26" t="n">
        <f aca="false">O80+O82+O83+O102</f>
        <v>576477.665908462</v>
      </c>
      <c r="P105" s="26" t="n">
        <f aca="false">P80+P82+P83+P102</f>
        <v>593771.995885716</v>
      </c>
      <c r="Q105" s="26" t="n">
        <f aca="false">Q80+Q82+Q83+Q102</f>
        <v>554376.500177584</v>
      </c>
    </row>
    <row r="106" customFormat="false" ht="15" hidden="false" customHeight="false" outlineLevel="0" collapsed="false">
      <c r="A106" s="3" t="s">
        <v>131</v>
      </c>
      <c r="C106" s="25" t="n">
        <f aca="false">C105</f>
        <v>250000</v>
      </c>
      <c r="D106" s="25" t="n">
        <f aca="false">C106+D105</f>
        <v>722520</v>
      </c>
      <c r="E106" s="25" t="n">
        <f aca="false">D106+E105</f>
        <v>1149733.4</v>
      </c>
      <c r="F106" s="25" t="n">
        <f aca="false">E106+F105</f>
        <v>1598624.728</v>
      </c>
      <c r="G106" s="25" t="n">
        <f aca="false">F106+G105</f>
        <v>2068896.57362</v>
      </c>
      <c r="H106" s="25" t="n">
        <f aca="false">G106+H105</f>
        <v>2537625.6702492</v>
      </c>
      <c r="I106" s="25" t="n">
        <f aca="false">H106+I105</f>
        <v>3020416.63977728</v>
      </c>
      <c r="J106" s="25" t="n">
        <f aca="false">I106+J105</f>
        <v>3517691.33839119</v>
      </c>
      <c r="K106" s="25" t="n">
        <f aca="false">J106+K105</f>
        <v>4029884.27796353</v>
      </c>
      <c r="L106" s="25" t="n">
        <f aca="false">K106+L105</f>
        <v>4557443.00572304</v>
      </c>
      <c r="M106" s="25" t="n">
        <f aca="false">L106+M105</f>
        <v>5100828.49531533</v>
      </c>
      <c r="N106" s="25" t="n">
        <f aca="false">M106+N105</f>
        <v>5660515.54959539</v>
      </c>
      <c r="O106" s="25" t="n">
        <f aca="false">N106+O105</f>
        <v>6236993.21550385</v>
      </c>
      <c r="P106" s="25" t="n">
        <f aca="false">O106+P105</f>
        <v>6830765.21138957</v>
      </c>
      <c r="Q106" s="25" t="n">
        <f aca="false">P106+Q105</f>
        <v>7385141.71156715</v>
      </c>
    </row>
    <row r="108" customFormat="false" ht="15" hidden="false" customHeight="false" outlineLevel="0" collapsed="false">
      <c r="A108" s="2" t="s">
        <v>132</v>
      </c>
      <c r="B108" s="24" t="n">
        <f aca="false">SUM(W86:W98)</f>
        <v>466.929444187294</v>
      </c>
    </row>
    <row r="109" customFormat="false" ht="15" hidden="false" customHeight="false" outlineLevel="0" collapsed="false">
      <c r="A109" s="2" t="s">
        <v>133</v>
      </c>
      <c r="B109" s="22" t="n">
        <f aca="false">B108*$Q$79</f>
        <v>180599.027635714</v>
      </c>
    </row>
    <row r="121" customFormat="false" ht="15" hidden="false" customHeight="false" outlineLevel="0" collapsed="false">
      <c r="A121" s="18" t="s">
        <v>135</v>
      </c>
      <c r="B121" s="19" t="str">
        <f aca="false">Scenarios!E$3</f>
        <v>Aggressive</v>
      </c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</row>
    <row r="122" customFormat="false" ht="15" hidden="false" customHeight="false" outlineLevel="0" collapsed="false">
      <c r="A122" s="3" t="s">
        <v>101</v>
      </c>
      <c r="C122" s="17" t="n">
        <v>1</v>
      </c>
      <c r="D122" s="17" t="n">
        <v>2</v>
      </c>
      <c r="E122" s="17" t="n">
        <v>3</v>
      </c>
      <c r="F122" s="17" t="n">
        <v>4</v>
      </c>
      <c r="G122" s="17" t="n">
        <v>5</v>
      </c>
      <c r="H122" s="17" t="n">
        <v>6</v>
      </c>
      <c r="I122" s="17" t="n">
        <v>7</v>
      </c>
      <c r="J122" s="17" t="n">
        <v>8</v>
      </c>
      <c r="K122" s="17" t="n">
        <v>9</v>
      </c>
      <c r="L122" s="17" t="n">
        <v>10</v>
      </c>
      <c r="M122" s="17" t="n">
        <v>11</v>
      </c>
      <c r="N122" s="17" t="n">
        <v>12</v>
      </c>
      <c r="O122" s="17" t="n">
        <v>13</v>
      </c>
      <c r="P122" s="17" t="n">
        <v>14</v>
      </c>
      <c r="Q122" s="17" t="n">
        <v>15</v>
      </c>
    </row>
    <row r="123" customFormat="false" ht="15" hidden="false" customHeight="false" outlineLevel="0" collapsed="false">
      <c r="A123" s="3" t="s">
        <v>102</v>
      </c>
      <c r="C123" s="17" t="n">
        <f aca="false">$B$6</f>
        <v>2026</v>
      </c>
      <c r="D123" s="17" t="n">
        <f aca="false">C123+1</f>
        <v>2027</v>
      </c>
      <c r="E123" s="17" t="n">
        <f aca="false">D123+1</f>
        <v>2028</v>
      </c>
      <c r="F123" s="17" t="n">
        <f aca="false">E123+1</f>
        <v>2029</v>
      </c>
      <c r="G123" s="17" t="n">
        <f aca="false">F123+1</f>
        <v>2030</v>
      </c>
      <c r="H123" s="17" t="n">
        <f aca="false">G123+1</f>
        <v>2031</v>
      </c>
      <c r="I123" s="17" t="n">
        <f aca="false">H123+1</f>
        <v>2032</v>
      </c>
      <c r="J123" s="17" t="n">
        <f aca="false">I123+1</f>
        <v>2033</v>
      </c>
      <c r="K123" s="17" t="n">
        <f aca="false">J123+1</f>
        <v>2034</v>
      </c>
      <c r="L123" s="17" t="n">
        <f aca="false">K123+1</f>
        <v>2035</v>
      </c>
      <c r="M123" s="17" t="n">
        <f aca="false">L123+1</f>
        <v>2036</v>
      </c>
      <c r="N123" s="17" t="n">
        <f aca="false">M123+1</f>
        <v>2037</v>
      </c>
      <c r="O123" s="17" t="n">
        <f aca="false">N123+1</f>
        <v>2038</v>
      </c>
      <c r="P123" s="17" t="n">
        <f aca="false">O123+1</f>
        <v>2039</v>
      </c>
      <c r="Q123" s="17" t="n">
        <f aca="false">P123+1</f>
        <v>2040</v>
      </c>
    </row>
    <row r="124" customFormat="false" ht="15" hidden="false" customHeight="false" outlineLevel="0" collapsed="false">
      <c r="A124" s="2" t="s">
        <v>103</v>
      </c>
      <c r="C124" s="21" t="n">
        <f aca="false">$B$17</f>
        <v>150</v>
      </c>
      <c r="D124" s="21" t="n">
        <f aca="false">C124*(1+Scenarios!$E$4)</f>
        <v>172.5</v>
      </c>
      <c r="E124" s="21" t="n">
        <f aca="false">D124*(1+Scenarios!$E$4)</f>
        <v>198.375</v>
      </c>
      <c r="F124" s="21" t="n">
        <f aca="false">E124*(1+Scenarios!$E$4)</f>
        <v>228.13125</v>
      </c>
      <c r="G124" s="21" t="n">
        <f aca="false">F124*(1+Scenarios!$E$4)</f>
        <v>262.3509375</v>
      </c>
      <c r="H124" s="21" t="n">
        <f aca="false">G124*(1+Scenarios!$E$4)</f>
        <v>301.703578125</v>
      </c>
      <c r="I124" s="21" t="n">
        <f aca="false">H124*(1+Scenarios!$E$4)</f>
        <v>346.95911484375</v>
      </c>
      <c r="J124" s="21" t="n">
        <f aca="false">I124*(1+Scenarios!$E$4)</f>
        <v>399.002982070312</v>
      </c>
      <c r="K124" s="21" t="n">
        <f aca="false">J124*(1+Scenarios!$E$4)</f>
        <v>458.853429380859</v>
      </c>
      <c r="L124" s="21" t="n">
        <f aca="false">K124*(1+Scenarios!$E$4)</f>
        <v>527.681443787988</v>
      </c>
      <c r="M124" s="21" t="n">
        <f aca="false">L124*(1+Scenarios!$E$4)</f>
        <v>606.833660356186</v>
      </c>
      <c r="N124" s="21" t="n">
        <f aca="false">M124*(1+Scenarios!$E$4)</f>
        <v>697.858709409614</v>
      </c>
      <c r="O124" s="21" t="n">
        <f aca="false">N124*(1+Scenarios!$E$4)</f>
        <v>802.537515821056</v>
      </c>
      <c r="P124" s="21" t="n">
        <f aca="false">O124*(1+Scenarios!$E$4)</f>
        <v>922.918143194214</v>
      </c>
      <c r="Q124" s="21" t="n">
        <f aca="false">P124*(1+Scenarios!$E$4)</f>
        <v>1061.35586467335</v>
      </c>
    </row>
    <row r="125" customFormat="false" ht="15" hidden="false" customHeight="false" outlineLevel="0" collapsed="false">
      <c r="A125" s="2" t="s">
        <v>104</v>
      </c>
      <c r="C125" s="22" t="n">
        <f aca="false">$B$7</f>
        <v>200000</v>
      </c>
      <c r="D125" s="22" t="n">
        <f aca="false">C125*(1+$B$8*Scenarios!$E$5)</f>
        <v>209000</v>
      </c>
      <c r="E125" s="22" t="n">
        <f aca="false">D125*(1+$B$8*Scenarios!$E$5)</f>
        <v>218405</v>
      </c>
      <c r="F125" s="22" t="n">
        <f aca="false">E125*(1+$B$8*Scenarios!$E$5)</f>
        <v>228233.225</v>
      </c>
      <c r="G125" s="22" t="n">
        <f aca="false">F125*(1+$B$8*Scenarios!$E$5)</f>
        <v>238503.720125</v>
      </c>
      <c r="H125" s="22" t="n">
        <f aca="false">G125*(1+$B$8*Scenarios!$E$5)</f>
        <v>249236.387530625</v>
      </c>
      <c r="I125" s="22" t="n">
        <f aca="false">H125*(1+$B$8*Scenarios!$E$5)</f>
        <v>260452.024969503</v>
      </c>
      <c r="J125" s="22" t="n">
        <f aca="false">I125*(1+$B$8*Scenarios!$E$5)</f>
        <v>272172.366093131</v>
      </c>
      <c r="K125" s="22" t="n">
        <f aca="false">J125*(1+$B$8*Scenarios!$E$5)</f>
        <v>284420.122567322</v>
      </c>
      <c r="L125" s="22" t="n">
        <f aca="false">K125*(1+$B$8*Scenarios!$E$5)</f>
        <v>297219.028082851</v>
      </c>
      <c r="M125" s="22" t="n">
        <f aca="false">L125*(1+$B$8*Scenarios!$E$5)</f>
        <v>310593.884346579</v>
      </c>
      <c r="N125" s="22" t="n">
        <f aca="false">M125*(1+$B$8*Scenarios!$E$5)</f>
        <v>324570.609142175</v>
      </c>
      <c r="O125" s="22" t="n">
        <f aca="false">N125*(1+$B$8*Scenarios!$E$5)</f>
        <v>339176.286553573</v>
      </c>
      <c r="P125" s="22" t="n">
        <f aca="false">O125*(1+$B$8*Scenarios!$E$5)</f>
        <v>354439.219448484</v>
      </c>
      <c r="Q125" s="22" t="n">
        <f aca="false">P125*(1+$B$8*Scenarios!$E$5)</f>
        <v>370388.984323666</v>
      </c>
    </row>
    <row r="126" customFormat="false" ht="15" hidden="false" customHeight="false" outlineLevel="0" collapsed="false">
      <c r="A126" s="2" t="s">
        <v>105</v>
      </c>
      <c r="C126" s="22" t="n">
        <f aca="false">IF($B$10="Prior",0,C125)</f>
        <v>200000</v>
      </c>
      <c r="D126" s="22" t="n">
        <f aca="false">IF($B$10="Prior",C125,D125)</f>
        <v>209000</v>
      </c>
      <c r="E126" s="22" t="n">
        <f aca="false">IF($B$10="Prior",D125,E125)</f>
        <v>218405</v>
      </c>
      <c r="F126" s="22" t="n">
        <f aca="false">IF($B$10="Prior",E125,F125)</f>
        <v>228233.225</v>
      </c>
      <c r="G126" s="22" t="n">
        <f aca="false">IF($B$10="Prior",F125,G125)</f>
        <v>238503.720125</v>
      </c>
      <c r="H126" s="22" t="n">
        <f aca="false">IF($B$10="Prior",G125,H125)</f>
        <v>249236.387530625</v>
      </c>
      <c r="I126" s="22" t="n">
        <f aca="false">IF($B$10="Prior",H125,I125)</f>
        <v>260452.024969503</v>
      </c>
      <c r="J126" s="22" t="n">
        <f aca="false">IF($B$10="Prior",I125,J125)</f>
        <v>272172.366093131</v>
      </c>
      <c r="K126" s="22" t="n">
        <f aca="false">IF($B$10="Prior",J125,K125)</f>
        <v>284420.122567322</v>
      </c>
      <c r="L126" s="22" t="n">
        <f aca="false">IF($B$10="Prior",K125,L125)</f>
        <v>297219.028082851</v>
      </c>
      <c r="M126" s="22" t="n">
        <f aca="false">IF($B$10="Prior",L125,M125)</f>
        <v>310593.884346579</v>
      </c>
      <c r="N126" s="22" t="n">
        <f aca="false">IF($B$10="Prior",M125,N125)</f>
        <v>324570.609142175</v>
      </c>
      <c r="O126" s="22" t="n">
        <f aca="false">IF($B$10="Prior",N125,O125)</f>
        <v>339176.286553573</v>
      </c>
      <c r="P126" s="22" t="n">
        <f aca="false">IF($B$10="Prior",O125,P125)</f>
        <v>354439.219448484</v>
      </c>
      <c r="Q126" s="22" t="n">
        <f aca="false">IF($B$10="Prior",P125,Q125)</f>
        <v>370388.984323666</v>
      </c>
    </row>
    <row r="127" customFormat="false" ht="15" hidden="false" customHeight="false" outlineLevel="0" collapsed="false">
      <c r="A127" s="2" t="s">
        <v>106</v>
      </c>
      <c r="C127" s="22" t="n">
        <f aca="false">IF($B$11="No",0,C126*$B$9*Scenarios!$E$6)</f>
        <v>0</v>
      </c>
      <c r="D127" s="22" t="n">
        <f aca="false">D126*$B$9*Scenarios!$E$6</f>
        <v>57475</v>
      </c>
      <c r="E127" s="22" t="n">
        <f aca="false">E126*$B$9*Scenarios!$E$6</f>
        <v>60061.375</v>
      </c>
      <c r="F127" s="22" t="n">
        <f aca="false">F126*$B$9*Scenarios!$E$6</f>
        <v>62764.136875</v>
      </c>
      <c r="G127" s="22" t="n">
        <f aca="false">G126*$B$9*Scenarios!$E$6</f>
        <v>65588.523034375</v>
      </c>
      <c r="H127" s="22" t="n">
        <f aca="false">H126*$B$9*Scenarios!$E$6</f>
        <v>68540.0065709219</v>
      </c>
      <c r="I127" s="22" t="n">
        <f aca="false">I126*$B$9*Scenarios!$E$6</f>
        <v>71624.3068666133</v>
      </c>
      <c r="J127" s="22" t="n">
        <f aca="false">J126*$B$9*Scenarios!$E$6</f>
        <v>74847.4006756109</v>
      </c>
      <c r="K127" s="22" t="n">
        <f aca="false">K126*$B$9*Scenarios!$E$6</f>
        <v>78215.5337060134</v>
      </c>
      <c r="L127" s="22" t="n">
        <f aca="false">L126*$B$9*Scenarios!$E$6</f>
        <v>81735.232722784</v>
      </c>
      <c r="M127" s="22" t="n">
        <f aca="false">M126*$B$9*Scenarios!$E$6</f>
        <v>85413.3181953093</v>
      </c>
      <c r="N127" s="22" t="n">
        <f aca="false">N126*$B$9*Scenarios!$E$6</f>
        <v>89256.9175140982</v>
      </c>
      <c r="O127" s="22" t="n">
        <f aca="false">O126*$B$9*Scenarios!$E$6</f>
        <v>93273.4788022326</v>
      </c>
      <c r="P127" s="22" t="n">
        <f aca="false">P126*$B$9*Scenarios!$E$6</f>
        <v>97470.7853483331</v>
      </c>
      <c r="Q127" s="22" t="n">
        <f aca="false">Q126*$B$9*Scenarios!$E$6</f>
        <v>101856.970689008</v>
      </c>
    </row>
    <row r="128" customFormat="false" ht="15" hidden="false" customHeight="false" outlineLevel="0" collapsed="false">
      <c r="A128" s="2" t="s">
        <v>107</v>
      </c>
      <c r="C128" s="22" t="n">
        <f aca="false">$B$12*$B$13</f>
        <v>50000</v>
      </c>
      <c r="D128" s="22" t="n">
        <f aca="false">$B$12*$B$14</f>
        <v>50000</v>
      </c>
      <c r="E128" s="22" t="n">
        <f aca="false">$B$12*$B$15</f>
        <v>0</v>
      </c>
      <c r="F128" s="22" t="n">
        <v>0</v>
      </c>
      <c r="G128" s="22" t="n">
        <v>0</v>
      </c>
      <c r="H128" s="22" t="n">
        <v>0</v>
      </c>
      <c r="I128" s="22" t="n">
        <v>0</v>
      </c>
      <c r="J128" s="22" t="n">
        <v>0</v>
      </c>
      <c r="K128" s="22" t="n">
        <v>0</v>
      </c>
      <c r="L128" s="22" t="n">
        <v>0</v>
      </c>
      <c r="M128" s="22" t="n">
        <v>0</v>
      </c>
      <c r="N128" s="22" t="n">
        <v>0</v>
      </c>
      <c r="O128" s="22" t="n">
        <v>0</v>
      </c>
      <c r="P128" s="22" t="n">
        <v>0</v>
      </c>
      <c r="Q128" s="22" t="n">
        <v>0</v>
      </c>
    </row>
    <row r="130" customFormat="false" ht="15" hidden="false" customHeight="false" outlineLevel="0" collapsed="false">
      <c r="A130" s="3" t="s">
        <v>108</v>
      </c>
      <c r="S130" s="7" t="s">
        <v>109</v>
      </c>
      <c r="T130" s="7" t="s">
        <v>110</v>
      </c>
      <c r="U130" s="7" t="s">
        <v>111</v>
      </c>
      <c r="V130" s="7" t="s">
        <v>112</v>
      </c>
      <c r="W130" s="7" t="s">
        <v>113</v>
      </c>
    </row>
    <row r="131" customFormat="false" ht="15" hidden="false" customHeight="false" outlineLevel="0" collapsed="false">
      <c r="A131" s="2" t="s">
        <v>97</v>
      </c>
      <c r="C131" s="22" t="n">
        <f aca="false">IF(AND(C$123-$S131+1-$B$22&gt;=1,C$123-$S131+1-$B$22&lt;=8),INDEX($C$26:$J$26,1,C$123-$S131+1-$B$22),0)*$U131*C$124</f>
        <v>0</v>
      </c>
      <c r="D131" s="22" t="n">
        <f aca="false">IF(AND(D$123-$S131+1-$B$22&gt;=1,D$123-$S131+1-$B$22&lt;=8),INDEX($C$26:$J$26,1,D$123-$S131+1-$B$22),0)*$U131*D$124</f>
        <v>184000</v>
      </c>
      <c r="E131" s="22" t="n">
        <f aca="false">IF(AND(E$123-$S131+1-$B$22&gt;=1,E$123-$S131+1-$B$22&lt;=8),INDEX($C$26:$J$26,1,E$123-$S131+1-$B$22),0)*$U131*E$124</f>
        <v>148120</v>
      </c>
      <c r="F131" s="22" t="n">
        <f aca="false">IF(AND(F$123-$S131+1-$B$22&gt;=1,F$123-$S131+1-$B$22&lt;=8),INDEX($C$26:$J$26,1,F$123-$S131+1-$B$22),0)*$U131*F$124</f>
        <v>121670</v>
      </c>
      <c r="G131" s="22" t="n">
        <f aca="false">IF(AND(G$123-$S131+1-$B$22&gt;=1,G$123-$S131+1-$B$22&lt;=8),INDEX($C$26:$J$26,1,G$123-$S131+1-$B$22),0)*$U131*G$124</f>
        <v>83952.3</v>
      </c>
      <c r="H131" s="22" t="n">
        <f aca="false">IF(AND(H$123-$S131+1-$B$22&gt;=1,H$123-$S131+1-$B$22&lt;=8),INDEX($C$26:$J$26,1,H$123-$S131+1-$B$22),0)*$U131*H$124</f>
        <v>0</v>
      </c>
      <c r="I131" s="22" t="n">
        <f aca="false">IF(AND(I$123-$S131+1-$B$22&gt;=1,I$123-$S131+1-$B$22&lt;=8),INDEX($C$26:$J$26,1,I$123-$S131+1-$B$22),0)*$U131*I$124</f>
        <v>0</v>
      </c>
      <c r="J131" s="22" t="n">
        <f aca="false">IF(AND(J$123-$S131+1-$B$22&gt;=1,J$123-$S131+1-$B$22&lt;=8),INDEX($C$26:$J$26,1,J$123-$S131+1-$B$22),0)*$U131*J$124</f>
        <v>0</v>
      </c>
      <c r="K131" s="22" t="n">
        <f aca="false">IF(AND(K$123-$S131+1-$B$22&gt;=1,K$123-$S131+1-$B$22&lt;=8),INDEX($C$26:$J$26,1,K$123-$S131+1-$B$22),0)*$U131*K$124</f>
        <v>0</v>
      </c>
      <c r="L131" s="22" t="n">
        <f aca="false">IF(AND(L$123-$S131+1-$B$22&gt;=1,L$123-$S131+1-$B$22&lt;=8),INDEX($C$26:$J$26,1,L$123-$S131+1-$B$22),0)*$U131*L$124</f>
        <v>0</v>
      </c>
      <c r="M131" s="22" t="n">
        <f aca="false">IF(AND(M$123-$S131+1-$B$22&gt;=1,M$123-$S131+1-$B$22&lt;=8),INDEX($C$26:$J$26,1,M$123-$S131+1-$B$22),0)*$U131*M$124</f>
        <v>0</v>
      </c>
      <c r="N131" s="22" t="n">
        <f aca="false">IF(AND(N$123-$S131+1-$B$22&gt;=1,N$123-$S131+1-$B$22&lt;=8),INDEX($C$26:$J$26,1,N$123-$S131+1-$B$22),0)*$U131*N$124</f>
        <v>0</v>
      </c>
      <c r="O131" s="22" t="n">
        <f aca="false">IF(AND(O$123-$S131+1-$B$22&gt;=1,O$123-$S131+1-$B$22&lt;=8),INDEX($C$26:$J$26,1,O$123-$S131+1-$B$22),0)*$U131*O$124</f>
        <v>0</v>
      </c>
      <c r="P131" s="22" t="n">
        <f aca="false">IF(AND(P$123-$S131+1-$B$22&gt;=1,P$123-$S131+1-$B$22&lt;=8),INDEX($C$26:$J$26,1,P$123-$S131+1-$B$22),0)*$U131*P$124</f>
        <v>0</v>
      </c>
      <c r="Q131" s="22" t="n">
        <f aca="false">IF(AND(Q$123-$S131+1-$B$22&gt;=1,Q$123-$S131+1-$B$22&lt;=8),INDEX($C$26:$J$26,1,Q$123-$S131+1-$B$22),0)*$U131*Q$124</f>
        <v>0</v>
      </c>
      <c r="S131" s="23" t="n">
        <f aca="false">$B$6</f>
        <v>2026</v>
      </c>
      <c r="T131" s="22" t="n">
        <f aca="false">$B$18</f>
        <v>400000</v>
      </c>
      <c r="U131" s="24" t="n">
        <f aca="false">IFERROR(T131/$B$17,0)</f>
        <v>2666.66666666667</v>
      </c>
      <c r="V131" s="24" t="n">
        <f aca="false">SUMPRODUCT(($C$25:$J$25&lt;=$Q$123-$S131+1-$B$22)*$C$26:$J$26)*$U131</f>
        <v>2666.66666666667</v>
      </c>
      <c r="W131" s="24" t="n">
        <f aca="false">$U131-$V131</f>
        <v>0</v>
      </c>
    </row>
    <row r="132" customFormat="false" ht="15" hidden="false" customHeight="false" outlineLevel="0" collapsed="false">
      <c r="A132" s="2" t="s">
        <v>114</v>
      </c>
      <c r="C132" s="22" t="n">
        <f aca="false">IF(AND(C$123-$S132+1-$B$22&gt;=1,C$123-$S132+1-$B$22&lt;=8),INDEX($C$27:$J$27,1,C$123-$S132+1-$B$22),0)*$U132*C$124</f>
        <v>0</v>
      </c>
      <c r="D132" s="22" t="n">
        <f aca="false">IF(AND(D$123-$S132+1-$B$22&gt;=1,D$123-$S132+1-$B$22&lt;=8),INDEX($C$27:$J$27,1,D$123-$S132+1-$B$22),0)*$U132*D$124</f>
        <v>0</v>
      </c>
      <c r="E132" s="22" t="n">
        <f aca="false">IF(AND(E$123-$S132+1-$B$22&gt;=1,E$123-$S132+1-$B$22&lt;=8),INDEX($C$27:$J$27,1,E$123-$S132+1-$B$22),0)*$U132*E$124</f>
        <v>43125</v>
      </c>
      <c r="F132" s="22" t="n">
        <f aca="false">IF(AND(F$123-$S132+1-$B$22&gt;=1,F$123-$S132+1-$B$22&lt;=8),INDEX($C$27:$J$27,1,F$123-$S132+1-$B$22),0)*$U132*F$124</f>
        <v>49593.75</v>
      </c>
      <c r="G132" s="22" t="n">
        <f aca="false">IF(AND(G$123-$S132+1-$B$22&gt;=1,G$123-$S132+1-$B$22&lt;=8),INDEX($C$27:$J$27,1,G$123-$S132+1-$B$22),0)*$U132*G$124</f>
        <v>57032.8125</v>
      </c>
      <c r="H132" s="22" t="n">
        <f aca="false">IF(AND(H$123-$S132+1-$B$22&gt;=1,H$123-$S132+1-$B$22&lt;=8),INDEX($C$27:$J$27,1,H$123-$S132+1-$B$22),0)*$U132*H$124</f>
        <v>65587.734375</v>
      </c>
      <c r="I132" s="22" t="n">
        <f aca="false">IF(AND(I$123-$S132+1-$B$22&gt;=1,I$123-$S132+1-$B$22&lt;=8),INDEX($C$27:$J$27,1,I$123-$S132+1-$B$22),0)*$U132*I$124</f>
        <v>0</v>
      </c>
      <c r="J132" s="22" t="n">
        <f aca="false">IF(AND(J$123-$S132+1-$B$22&gt;=1,J$123-$S132+1-$B$22&lt;=8),INDEX($C$27:$J$27,1,J$123-$S132+1-$B$22),0)*$U132*J$124</f>
        <v>0</v>
      </c>
      <c r="K132" s="22" t="n">
        <f aca="false">IF(AND(K$123-$S132+1-$B$22&gt;=1,K$123-$S132+1-$B$22&lt;=8),INDEX($C$27:$J$27,1,K$123-$S132+1-$B$22),0)*$U132*K$124</f>
        <v>0</v>
      </c>
      <c r="L132" s="22" t="n">
        <f aca="false">IF(AND(L$123-$S132+1-$B$22&gt;=1,L$123-$S132+1-$B$22&lt;=8),INDEX($C$27:$J$27,1,L$123-$S132+1-$B$22),0)*$U132*L$124</f>
        <v>0</v>
      </c>
      <c r="M132" s="22" t="n">
        <f aca="false">IF(AND(M$123-$S132+1-$B$22&gt;=1,M$123-$S132+1-$B$22&lt;=8),INDEX($C$27:$J$27,1,M$123-$S132+1-$B$22),0)*$U132*M$124</f>
        <v>0</v>
      </c>
      <c r="N132" s="22" t="n">
        <f aca="false">IF(AND(N$123-$S132+1-$B$22&gt;=1,N$123-$S132+1-$B$22&lt;=8),INDEX($C$27:$J$27,1,N$123-$S132+1-$B$22),0)*$U132*N$124</f>
        <v>0</v>
      </c>
      <c r="O132" s="22" t="n">
        <f aca="false">IF(AND(O$123-$S132+1-$B$22&gt;=1,O$123-$S132+1-$B$22&lt;=8),INDEX($C$27:$J$27,1,O$123-$S132+1-$B$22),0)*$U132*O$124</f>
        <v>0</v>
      </c>
      <c r="P132" s="22" t="n">
        <f aca="false">IF(AND(P$123-$S132+1-$B$22&gt;=1,P$123-$S132+1-$B$22&lt;=8),INDEX($C$27:$J$27,1,P$123-$S132+1-$B$22),0)*$U132*P$124</f>
        <v>0</v>
      </c>
      <c r="Q132" s="22" t="n">
        <f aca="false">IF(AND(Q$123-$S132+1-$B$22&gt;=1,Q$123-$S132+1-$B$22&lt;=8),INDEX($C$27:$J$27,1,Q$123-$S132+1-$B$22),0)*$U132*Q$124</f>
        <v>0</v>
      </c>
      <c r="S132" s="23" t="n">
        <f aca="false">$B$20+0</f>
        <v>2027</v>
      </c>
      <c r="T132" s="22" t="n">
        <f aca="false">IF($S132&gt;$B$20+Scenarios!$E$8-1,0,$B$19*(1+$B$21*Scenarios!$E$7)^0)</f>
        <v>150000</v>
      </c>
      <c r="U132" s="24" t="n">
        <f aca="false">IFERROR($T132/INDEX($C$124:$Q$124,1,MATCH($S132,$C$123:$Q$123,0)),0)</f>
        <v>869.565217391304</v>
      </c>
      <c r="V132" s="24" t="n">
        <f aca="false">SUMPRODUCT(($C$25:$J$25&lt;=$Q$123-$S132+1-$B$22)*$C$27:$J$27)*$U132</f>
        <v>869.565217391304</v>
      </c>
      <c r="W132" s="24" t="n">
        <f aca="false">$U132-$V132</f>
        <v>0</v>
      </c>
    </row>
    <row r="133" customFormat="false" ht="15" hidden="false" customHeight="false" outlineLevel="0" collapsed="false">
      <c r="A133" s="2" t="s">
        <v>115</v>
      </c>
      <c r="C133" s="22" t="n">
        <f aca="false">IF(AND(C$123-$S133+1-$B$22&gt;=1,C$123-$S133+1-$B$22&lt;=8),INDEX($C$27:$J$27,1,C$123-$S133+1-$B$22),0)*$U133*C$124</f>
        <v>0</v>
      </c>
      <c r="D133" s="22" t="n">
        <f aca="false">IF(AND(D$123-$S133+1-$B$22&gt;=1,D$123-$S133+1-$B$22&lt;=8),INDEX($C$27:$J$27,1,D$123-$S133+1-$B$22),0)*$U133*D$124</f>
        <v>0</v>
      </c>
      <c r="E133" s="22" t="n">
        <f aca="false">IF(AND(E$123-$S133+1-$B$22&gt;=1,E$123-$S133+1-$B$22&lt;=8),INDEX($C$27:$J$27,1,E$123-$S133+1-$B$22),0)*$U133*E$124</f>
        <v>0</v>
      </c>
      <c r="F133" s="22" t="n">
        <f aca="false">IF(AND(F$123-$S133+1-$B$22&gt;=1,F$123-$S133+1-$B$22&lt;=8),INDEX($C$27:$J$27,1,F$123-$S133+1-$B$22),0)*$U133*F$124</f>
        <v>44418.75</v>
      </c>
      <c r="G133" s="22" t="n">
        <f aca="false">IF(AND(G$123-$S133+1-$B$22&gt;=1,G$123-$S133+1-$B$22&lt;=8),INDEX($C$27:$J$27,1,G$123-$S133+1-$B$22),0)*$U133*G$124</f>
        <v>51081.5625</v>
      </c>
      <c r="H133" s="22" t="n">
        <f aca="false">IF(AND(H$123-$S133+1-$B$22&gt;=1,H$123-$S133+1-$B$22&lt;=8),INDEX($C$27:$J$27,1,H$123-$S133+1-$B$22),0)*$U133*H$124</f>
        <v>58743.796875</v>
      </c>
      <c r="I133" s="22" t="n">
        <f aca="false">IF(AND(I$123-$S133+1-$B$22&gt;=1,I$123-$S133+1-$B$22&lt;=8),INDEX($C$27:$J$27,1,I$123-$S133+1-$B$22),0)*$U133*I$124</f>
        <v>67555.36640625</v>
      </c>
      <c r="J133" s="22" t="n">
        <f aca="false">IF(AND(J$123-$S133+1-$B$22&gt;=1,J$123-$S133+1-$B$22&lt;=8),INDEX($C$27:$J$27,1,J$123-$S133+1-$B$22),0)*$U133*J$124</f>
        <v>0</v>
      </c>
      <c r="K133" s="22" t="n">
        <f aca="false">IF(AND(K$123-$S133+1-$B$22&gt;=1,K$123-$S133+1-$B$22&lt;=8),INDEX($C$27:$J$27,1,K$123-$S133+1-$B$22),0)*$U133*K$124</f>
        <v>0</v>
      </c>
      <c r="L133" s="22" t="n">
        <f aca="false">IF(AND(L$123-$S133+1-$B$22&gt;=1,L$123-$S133+1-$B$22&lt;=8),INDEX($C$27:$J$27,1,L$123-$S133+1-$B$22),0)*$U133*L$124</f>
        <v>0</v>
      </c>
      <c r="M133" s="22" t="n">
        <f aca="false">IF(AND(M$123-$S133+1-$B$22&gt;=1,M$123-$S133+1-$B$22&lt;=8),INDEX($C$27:$J$27,1,M$123-$S133+1-$B$22),0)*$U133*M$124</f>
        <v>0</v>
      </c>
      <c r="N133" s="22" t="n">
        <f aca="false">IF(AND(N$123-$S133+1-$B$22&gt;=1,N$123-$S133+1-$B$22&lt;=8),INDEX($C$27:$J$27,1,N$123-$S133+1-$B$22),0)*$U133*N$124</f>
        <v>0</v>
      </c>
      <c r="O133" s="22" t="n">
        <f aca="false">IF(AND(O$123-$S133+1-$B$22&gt;=1,O$123-$S133+1-$B$22&lt;=8),INDEX($C$27:$J$27,1,O$123-$S133+1-$B$22),0)*$U133*O$124</f>
        <v>0</v>
      </c>
      <c r="P133" s="22" t="n">
        <f aca="false">IF(AND(P$123-$S133+1-$B$22&gt;=1,P$123-$S133+1-$B$22&lt;=8),INDEX($C$27:$J$27,1,P$123-$S133+1-$B$22),0)*$U133*P$124</f>
        <v>0</v>
      </c>
      <c r="Q133" s="22" t="n">
        <f aca="false">IF(AND(Q$123-$S133+1-$B$22&gt;=1,Q$123-$S133+1-$B$22&lt;=8),INDEX($C$27:$J$27,1,Q$123-$S133+1-$B$22),0)*$U133*Q$124</f>
        <v>0</v>
      </c>
      <c r="S133" s="23" t="n">
        <f aca="false">$B$20+1</f>
        <v>2028</v>
      </c>
      <c r="T133" s="22" t="n">
        <f aca="false">IF($S133&gt;$B$20+Scenarios!$E$8-1,0,$B$19*(1+$B$21*Scenarios!$E$7)^1)</f>
        <v>154500</v>
      </c>
      <c r="U133" s="24" t="n">
        <f aca="false">IFERROR($T133/INDEX($C$124:$Q$124,1,MATCH($S133,$C$123:$Q$123,0)),0)</f>
        <v>778.82797731569</v>
      </c>
      <c r="V133" s="24" t="n">
        <f aca="false">SUMPRODUCT(($C$25:$J$25&lt;=$Q$123-$S133+1-$B$22)*$C$27:$J$27)*$U133</f>
        <v>778.82797731569</v>
      </c>
      <c r="W133" s="24" t="n">
        <f aca="false">$U133-$V133</f>
        <v>0</v>
      </c>
    </row>
    <row r="134" customFormat="false" ht="15" hidden="false" customHeight="false" outlineLevel="0" collapsed="false">
      <c r="A134" s="2" t="s">
        <v>116</v>
      </c>
      <c r="C134" s="22" t="n">
        <f aca="false">IF(AND(C$123-$S134+1-$B$22&gt;=1,C$123-$S134+1-$B$22&lt;=8),INDEX($C$27:$J$27,1,C$123-$S134+1-$B$22),0)*$U134*C$124</f>
        <v>0</v>
      </c>
      <c r="D134" s="22" t="n">
        <f aca="false">IF(AND(D$123-$S134+1-$B$22&gt;=1,D$123-$S134+1-$B$22&lt;=8),INDEX($C$27:$J$27,1,D$123-$S134+1-$B$22),0)*$U134*D$124</f>
        <v>0</v>
      </c>
      <c r="E134" s="22" t="n">
        <f aca="false">IF(AND(E$123-$S134+1-$B$22&gt;=1,E$123-$S134+1-$B$22&lt;=8),INDEX($C$27:$J$27,1,E$123-$S134+1-$B$22),0)*$U134*E$124</f>
        <v>0</v>
      </c>
      <c r="F134" s="22" t="n">
        <f aca="false">IF(AND(F$123-$S134+1-$B$22&gt;=1,F$123-$S134+1-$B$22&lt;=8),INDEX($C$27:$J$27,1,F$123-$S134+1-$B$22),0)*$U134*F$124</f>
        <v>0</v>
      </c>
      <c r="G134" s="22" t="n">
        <f aca="false">IF(AND(G$123-$S134+1-$B$22&gt;=1,G$123-$S134+1-$B$22&lt;=8),INDEX($C$27:$J$27,1,G$123-$S134+1-$B$22),0)*$U134*G$124</f>
        <v>45751.3125</v>
      </c>
      <c r="H134" s="22" t="n">
        <f aca="false">IF(AND(H$123-$S134+1-$B$22&gt;=1,H$123-$S134+1-$B$22&lt;=8),INDEX($C$27:$J$27,1,H$123-$S134+1-$B$22),0)*$U134*H$124</f>
        <v>52614.009375</v>
      </c>
      <c r="I134" s="22" t="n">
        <f aca="false">IF(AND(I$123-$S134+1-$B$22&gt;=1,I$123-$S134+1-$B$22&lt;=8),INDEX($C$27:$J$27,1,I$123-$S134+1-$B$22),0)*$U134*I$124</f>
        <v>60506.11078125</v>
      </c>
      <c r="J134" s="22" t="n">
        <f aca="false">IF(AND(J$123-$S134+1-$B$22&gt;=1,J$123-$S134+1-$B$22&lt;=8),INDEX($C$27:$J$27,1,J$123-$S134+1-$B$22),0)*$U134*J$124</f>
        <v>69582.0273984375</v>
      </c>
      <c r="K134" s="22" t="n">
        <f aca="false">IF(AND(K$123-$S134+1-$B$22&gt;=1,K$123-$S134+1-$B$22&lt;=8),INDEX($C$27:$J$27,1,K$123-$S134+1-$B$22),0)*$U134*K$124</f>
        <v>0</v>
      </c>
      <c r="L134" s="22" t="n">
        <f aca="false">IF(AND(L$123-$S134+1-$B$22&gt;=1,L$123-$S134+1-$B$22&lt;=8),INDEX($C$27:$J$27,1,L$123-$S134+1-$B$22),0)*$U134*L$124</f>
        <v>0</v>
      </c>
      <c r="M134" s="22" t="n">
        <f aca="false">IF(AND(M$123-$S134+1-$B$22&gt;=1,M$123-$S134+1-$B$22&lt;=8),INDEX($C$27:$J$27,1,M$123-$S134+1-$B$22),0)*$U134*M$124</f>
        <v>0</v>
      </c>
      <c r="N134" s="22" t="n">
        <f aca="false">IF(AND(N$123-$S134+1-$B$22&gt;=1,N$123-$S134+1-$B$22&lt;=8),INDEX($C$27:$J$27,1,N$123-$S134+1-$B$22),0)*$U134*N$124</f>
        <v>0</v>
      </c>
      <c r="O134" s="22" t="n">
        <f aca="false">IF(AND(O$123-$S134+1-$B$22&gt;=1,O$123-$S134+1-$B$22&lt;=8),INDEX($C$27:$J$27,1,O$123-$S134+1-$B$22),0)*$U134*O$124</f>
        <v>0</v>
      </c>
      <c r="P134" s="22" t="n">
        <f aca="false">IF(AND(P$123-$S134+1-$B$22&gt;=1,P$123-$S134+1-$B$22&lt;=8),INDEX($C$27:$J$27,1,P$123-$S134+1-$B$22),0)*$U134*P$124</f>
        <v>0</v>
      </c>
      <c r="Q134" s="22" t="n">
        <f aca="false">IF(AND(Q$123-$S134+1-$B$22&gt;=1,Q$123-$S134+1-$B$22&lt;=8),INDEX($C$27:$J$27,1,Q$123-$S134+1-$B$22),0)*$U134*Q$124</f>
        <v>0</v>
      </c>
      <c r="S134" s="23" t="n">
        <f aca="false">$B$20+2</f>
        <v>2029</v>
      </c>
      <c r="T134" s="22" t="n">
        <f aca="false">IF($S134&gt;$B$20+Scenarios!$E$8-1,0,$B$19*(1+$B$21*Scenarios!$E$7)^2)</f>
        <v>159135</v>
      </c>
      <c r="U134" s="24" t="n">
        <f aca="false">IFERROR($T134/INDEX($C$124:$Q$124,1,MATCH($S134,$C$123:$Q$123,0)),0)</f>
        <v>697.558970987097</v>
      </c>
      <c r="V134" s="24" t="n">
        <f aca="false">SUMPRODUCT(($C$25:$J$25&lt;=$Q$123-$S134+1-$B$22)*$C$27:$J$27)*$U134</f>
        <v>697.558970987097</v>
      </c>
      <c r="W134" s="24" t="n">
        <f aca="false">$U134-$V134</f>
        <v>0</v>
      </c>
    </row>
    <row r="135" customFormat="false" ht="15" hidden="false" customHeight="false" outlineLevel="0" collapsed="false">
      <c r="A135" s="2" t="s">
        <v>117</v>
      </c>
      <c r="C135" s="22" t="n">
        <f aca="false">IF(AND(C$123-$S135+1-$B$22&gt;=1,C$123-$S135+1-$B$22&lt;=8),INDEX($C$27:$J$27,1,C$123-$S135+1-$B$22),0)*$U135*C$124</f>
        <v>0</v>
      </c>
      <c r="D135" s="22" t="n">
        <f aca="false">IF(AND(D$123-$S135+1-$B$22&gt;=1,D$123-$S135+1-$B$22&lt;=8),INDEX($C$27:$J$27,1,D$123-$S135+1-$B$22),0)*$U135*D$124</f>
        <v>0</v>
      </c>
      <c r="E135" s="22" t="n">
        <f aca="false">IF(AND(E$123-$S135+1-$B$22&gt;=1,E$123-$S135+1-$B$22&lt;=8),INDEX($C$27:$J$27,1,E$123-$S135+1-$B$22),0)*$U135*E$124</f>
        <v>0</v>
      </c>
      <c r="F135" s="22" t="n">
        <f aca="false">IF(AND(F$123-$S135+1-$B$22&gt;=1,F$123-$S135+1-$B$22&lt;=8),INDEX($C$27:$J$27,1,F$123-$S135+1-$B$22),0)*$U135*F$124</f>
        <v>0</v>
      </c>
      <c r="G135" s="22" t="n">
        <f aca="false">IF(AND(G$123-$S135+1-$B$22&gt;=1,G$123-$S135+1-$B$22&lt;=8),INDEX($C$27:$J$27,1,G$123-$S135+1-$B$22),0)*$U135*G$124</f>
        <v>0</v>
      </c>
      <c r="H135" s="22" t="n">
        <f aca="false">IF(AND(H$123-$S135+1-$B$22&gt;=1,H$123-$S135+1-$B$22&lt;=8),INDEX($C$27:$J$27,1,H$123-$S135+1-$B$22),0)*$U135*H$124</f>
        <v>47123.851875</v>
      </c>
      <c r="I135" s="22" t="n">
        <f aca="false">IF(AND(I$123-$S135+1-$B$22&gt;=1,I$123-$S135+1-$B$22&lt;=8),INDEX($C$27:$J$27,1,I$123-$S135+1-$B$22),0)*$U135*I$124</f>
        <v>54192.42965625</v>
      </c>
      <c r="J135" s="22" t="n">
        <f aca="false">IF(AND(J$123-$S135+1-$B$22&gt;=1,J$123-$S135+1-$B$22&lt;=8),INDEX($C$27:$J$27,1,J$123-$S135+1-$B$22),0)*$U135*J$124</f>
        <v>62321.2941046875</v>
      </c>
      <c r="K135" s="22" t="n">
        <f aca="false">IF(AND(K$123-$S135+1-$B$22&gt;=1,K$123-$S135+1-$B$22&lt;=8),INDEX($C$27:$J$27,1,K$123-$S135+1-$B$22),0)*$U135*K$124</f>
        <v>71669.4882203906</v>
      </c>
      <c r="L135" s="22" t="n">
        <f aca="false">IF(AND(L$123-$S135+1-$B$22&gt;=1,L$123-$S135+1-$B$22&lt;=8),INDEX($C$27:$J$27,1,L$123-$S135+1-$B$22),0)*$U135*L$124</f>
        <v>0</v>
      </c>
      <c r="M135" s="22" t="n">
        <f aca="false">IF(AND(M$123-$S135+1-$B$22&gt;=1,M$123-$S135+1-$B$22&lt;=8),INDEX($C$27:$J$27,1,M$123-$S135+1-$B$22),0)*$U135*M$124</f>
        <v>0</v>
      </c>
      <c r="N135" s="22" t="n">
        <f aca="false">IF(AND(N$123-$S135+1-$B$22&gt;=1,N$123-$S135+1-$B$22&lt;=8),INDEX($C$27:$J$27,1,N$123-$S135+1-$B$22),0)*$U135*N$124</f>
        <v>0</v>
      </c>
      <c r="O135" s="22" t="n">
        <f aca="false">IF(AND(O$123-$S135+1-$B$22&gt;=1,O$123-$S135+1-$B$22&lt;=8),INDEX($C$27:$J$27,1,O$123-$S135+1-$B$22),0)*$U135*O$124</f>
        <v>0</v>
      </c>
      <c r="P135" s="22" t="n">
        <f aca="false">IF(AND(P$123-$S135+1-$B$22&gt;=1,P$123-$S135+1-$B$22&lt;=8),INDEX($C$27:$J$27,1,P$123-$S135+1-$B$22),0)*$U135*P$124</f>
        <v>0</v>
      </c>
      <c r="Q135" s="22" t="n">
        <f aca="false">IF(AND(Q$123-$S135+1-$B$22&gt;=1,Q$123-$S135+1-$B$22&lt;=8),INDEX($C$27:$J$27,1,Q$123-$S135+1-$B$22),0)*$U135*Q$124</f>
        <v>0</v>
      </c>
      <c r="S135" s="23" t="n">
        <f aca="false">$B$20+3</f>
        <v>2030</v>
      </c>
      <c r="T135" s="22" t="n">
        <f aca="false">IF($S135&gt;$B$20+Scenarios!$E$8-1,0,$B$19*(1+$B$21*Scenarios!$E$7)^3)</f>
        <v>163909.05</v>
      </c>
      <c r="U135" s="24" t="n">
        <f aca="false">IFERROR($T135/INDEX($C$124:$Q$124,1,MATCH($S135,$C$123:$Q$123,0)),0)</f>
        <v>624.770208797139</v>
      </c>
      <c r="V135" s="24" t="n">
        <f aca="false">SUMPRODUCT(($C$25:$J$25&lt;=$Q$123-$S135+1-$B$22)*$C$27:$J$27)*$U135</f>
        <v>624.770208797139</v>
      </c>
      <c r="W135" s="24" t="n">
        <f aca="false">$U135-$V135</f>
        <v>0</v>
      </c>
    </row>
    <row r="136" customFormat="false" ht="15" hidden="false" customHeight="false" outlineLevel="0" collapsed="false">
      <c r="A136" s="2" t="s">
        <v>118</v>
      </c>
      <c r="C136" s="22" t="n">
        <f aca="false">IF(AND(C$123-$S136+1-$B$22&gt;=1,C$123-$S136+1-$B$22&lt;=8),INDEX($C$27:$J$27,1,C$123-$S136+1-$B$22),0)*$U136*C$124</f>
        <v>0</v>
      </c>
      <c r="D136" s="22" t="n">
        <f aca="false">IF(AND(D$123-$S136+1-$B$22&gt;=1,D$123-$S136+1-$B$22&lt;=8),INDEX($C$27:$J$27,1,D$123-$S136+1-$B$22),0)*$U136*D$124</f>
        <v>0</v>
      </c>
      <c r="E136" s="22" t="n">
        <f aca="false">IF(AND(E$123-$S136+1-$B$22&gt;=1,E$123-$S136+1-$B$22&lt;=8),INDEX($C$27:$J$27,1,E$123-$S136+1-$B$22),0)*$U136*E$124</f>
        <v>0</v>
      </c>
      <c r="F136" s="22" t="n">
        <f aca="false">IF(AND(F$123-$S136+1-$B$22&gt;=1,F$123-$S136+1-$B$22&lt;=8),INDEX($C$27:$J$27,1,F$123-$S136+1-$B$22),0)*$U136*F$124</f>
        <v>0</v>
      </c>
      <c r="G136" s="22" t="n">
        <f aca="false">IF(AND(G$123-$S136+1-$B$22&gt;=1,G$123-$S136+1-$B$22&lt;=8),INDEX($C$27:$J$27,1,G$123-$S136+1-$B$22),0)*$U136*G$124</f>
        <v>0</v>
      </c>
      <c r="H136" s="22" t="n">
        <f aca="false">IF(AND(H$123-$S136+1-$B$22&gt;=1,H$123-$S136+1-$B$22&lt;=8),INDEX($C$27:$J$27,1,H$123-$S136+1-$B$22),0)*$U136*H$124</f>
        <v>0</v>
      </c>
      <c r="I136" s="22" t="n">
        <f aca="false">IF(AND(I$123-$S136+1-$B$22&gt;=1,I$123-$S136+1-$B$22&lt;=8),INDEX($C$27:$J$27,1,I$123-$S136+1-$B$22),0)*$U136*I$124</f>
        <v>48537.56743125</v>
      </c>
      <c r="J136" s="22" t="n">
        <f aca="false">IF(AND(J$123-$S136+1-$B$22&gt;=1,J$123-$S136+1-$B$22&lt;=8),INDEX($C$27:$J$27,1,J$123-$S136+1-$B$22),0)*$U136*J$124</f>
        <v>55818.2025459375</v>
      </c>
      <c r="K136" s="22" t="n">
        <f aca="false">IF(AND(K$123-$S136+1-$B$22&gt;=1,K$123-$S136+1-$B$22&lt;=8),INDEX($C$27:$J$27,1,K$123-$S136+1-$B$22),0)*$U136*K$124</f>
        <v>64190.9329278281</v>
      </c>
      <c r="L136" s="22" t="n">
        <f aca="false">IF(AND(L$123-$S136+1-$B$22&gt;=1,L$123-$S136+1-$B$22&lt;=8),INDEX($C$27:$J$27,1,L$123-$S136+1-$B$22),0)*$U136*L$124</f>
        <v>73819.5728670023</v>
      </c>
      <c r="M136" s="22" t="n">
        <f aca="false">IF(AND(M$123-$S136+1-$B$22&gt;=1,M$123-$S136+1-$B$22&lt;=8),INDEX($C$27:$J$27,1,M$123-$S136+1-$B$22),0)*$U136*M$124</f>
        <v>0</v>
      </c>
      <c r="N136" s="22" t="n">
        <f aca="false">IF(AND(N$123-$S136+1-$B$22&gt;=1,N$123-$S136+1-$B$22&lt;=8),INDEX($C$27:$J$27,1,N$123-$S136+1-$B$22),0)*$U136*N$124</f>
        <v>0</v>
      </c>
      <c r="O136" s="22" t="n">
        <f aca="false">IF(AND(O$123-$S136+1-$B$22&gt;=1,O$123-$S136+1-$B$22&lt;=8),INDEX($C$27:$J$27,1,O$123-$S136+1-$B$22),0)*$U136*O$124</f>
        <v>0</v>
      </c>
      <c r="P136" s="22" t="n">
        <f aca="false">IF(AND(P$123-$S136+1-$B$22&gt;=1,P$123-$S136+1-$B$22&lt;=8),INDEX($C$27:$J$27,1,P$123-$S136+1-$B$22),0)*$U136*P$124</f>
        <v>0</v>
      </c>
      <c r="Q136" s="22" t="n">
        <f aca="false">IF(AND(Q$123-$S136+1-$B$22&gt;=1,Q$123-$S136+1-$B$22&lt;=8),INDEX($C$27:$J$27,1,Q$123-$S136+1-$B$22),0)*$U136*Q$124</f>
        <v>0</v>
      </c>
      <c r="S136" s="23" t="n">
        <f aca="false">$B$20+4</f>
        <v>2031</v>
      </c>
      <c r="T136" s="22" t="n">
        <f aca="false">IF($S136&gt;$B$20+Scenarios!$E$8-1,0,$B$19*(1+$B$21*Scenarios!$E$7)^4)</f>
        <v>168826.3215</v>
      </c>
      <c r="U136" s="24" t="n">
        <f aca="false">IFERROR($T136/INDEX($C$124:$Q$124,1,MATCH($S136,$C$123:$Q$123,0)),0)</f>
        <v>559.576795705263</v>
      </c>
      <c r="V136" s="24" t="n">
        <f aca="false">SUMPRODUCT(($C$25:$J$25&lt;=$Q$123-$S136+1-$B$22)*$C$27:$J$27)*$U136</f>
        <v>559.576795705263</v>
      </c>
      <c r="W136" s="24" t="n">
        <f aca="false">$U136-$V136</f>
        <v>0</v>
      </c>
    </row>
    <row r="137" customFormat="false" ht="15" hidden="false" customHeight="false" outlineLevel="0" collapsed="false">
      <c r="A137" s="2" t="s">
        <v>119</v>
      </c>
      <c r="C137" s="22" t="n">
        <f aca="false">IF(AND(C$123-$S137+1-$B$22&gt;=1,C$123-$S137+1-$B$22&lt;=8),INDEX($C$27:$J$27,1,C$123-$S137+1-$B$22),0)*$U137*C$124</f>
        <v>0</v>
      </c>
      <c r="D137" s="22" t="n">
        <f aca="false">IF(AND(D$123-$S137+1-$B$22&gt;=1,D$123-$S137+1-$B$22&lt;=8),INDEX($C$27:$J$27,1,D$123-$S137+1-$B$22),0)*$U137*D$124</f>
        <v>0</v>
      </c>
      <c r="E137" s="22" t="n">
        <f aca="false">IF(AND(E$123-$S137+1-$B$22&gt;=1,E$123-$S137+1-$B$22&lt;=8),INDEX($C$27:$J$27,1,E$123-$S137+1-$B$22),0)*$U137*E$124</f>
        <v>0</v>
      </c>
      <c r="F137" s="22" t="n">
        <f aca="false">IF(AND(F$123-$S137+1-$B$22&gt;=1,F$123-$S137+1-$B$22&lt;=8),INDEX($C$27:$J$27,1,F$123-$S137+1-$B$22),0)*$U137*F$124</f>
        <v>0</v>
      </c>
      <c r="G137" s="22" t="n">
        <f aca="false">IF(AND(G$123-$S137+1-$B$22&gt;=1,G$123-$S137+1-$B$22&lt;=8),INDEX($C$27:$J$27,1,G$123-$S137+1-$B$22),0)*$U137*G$124</f>
        <v>0</v>
      </c>
      <c r="H137" s="22" t="n">
        <f aca="false">IF(AND(H$123-$S137+1-$B$22&gt;=1,H$123-$S137+1-$B$22&lt;=8),INDEX($C$27:$J$27,1,H$123-$S137+1-$B$22),0)*$U137*H$124</f>
        <v>0</v>
      </c>
      <c r="I137" s="22" t="n">
        <f aca="false">IF(AND(I$123-$S137+1-$B$22&gt;=1,I$123-$S137+1-$B$22&lt;=8),INDEX($C$27:$J$27,1,I$123-$S137+1-$B$22),0)*$U137*I$124</f>
        <v>0</v>
      </c>
      <c r="J137" s="22" t="n">
        <f aca="false">IF(AND(J$123-$S137+1-$B$22&gt;=1,J$123-$S137+1-$B$22&lt;=8),INDEX($C$27:$J$27,1,J$123-$S137+1-$B$22),0)*$U137*J$124</f>
        <v>49993.6944541875</v>
      </c>
      <c r="K137" s="22" t="n">
        <f aca="false">IF(AND(K$123-$S137+1-$B$22&gt;=1,K$123-$S137+1-$B$22&lt;=8),INDEX($C$27:$J$27,1,K$123-$S137+1-$B$22),0)*$U137*K$124</f>
        <v>57492.7486223156</v>
      </c>
      <c r="L137" s="22" t="n">
        <f aca="false">IF(AND(L$123-$S137+1-$B$22&gt;=1,L$123-$S137+1-$B$22&lt;=8),INDEX($C$27:$J$27,1,L$123-$S137+1-$B$22),0)*$U137*L$124</f>
        <v>66116.660915663</v>
      </c>
      <c r="M137" s="22" t="n">
        <f aca="false">IF(AND(M$123-$S137+1-$B$22&gt;=1,M$123-$S137+1-$B$22&lt;=8),INDEX($C$27:$J$27,1,M$123-$S137+1-$B$22),0)*$U137*M$124</f>
        <v>76034.1600530124</v>
      </c>
      <c r="N137" s="22" t="n">
        <f aca="false">IF(AND(N$123-$S137+1-$B$22&gt;=1,N$123-$S137+1-$B$22&lt;=8),INDEX($C$27:$J$27,1,N$123-$S137+1-$B$22),0)*$U137*N$124</f>
        <v>0</v>
      </c>
      <c r="O137" s="22" t="n">
        <f aca="false">IF(AND(O$123-$S137+1-$B$22&gt;=1,O$123-$S137+1-$B$22&lt;=8),INDEX($C$27:$J$27,1,O$123-$S137+1-$B$22),0)*$U137*O$124</f>
        <v>0</v>
      </c>
      <c r="P137" s="22" t="n">
        <f aca="false">IF(AND(P$123-$S137+1-$B$22&gt;=1,P$123-$S137+1-$B$22&lt;=8),INDEX($C$27:$J$27,1,P$123-$S137+1-$B$22),0)*$U137*P$124</f>
        <v>0</v>
      </c>
      <c r="Q137" s="22" t="n">
        <f aca="false">IF(AND(Q$123-$S137+1-$B$22&gt;=1,Q$123-$S137+1-$B$22&lt;=8),INDEX($C$27:$J$27,1,Q$123-$S137+1-$B$22),0)*$U137*Q$124</f>
        <v>0</v>
      </c>
      <c r="S137" s="23" t="n">
        <f aca="false">$B$20+5</f>
        <v>2032</v>
      </c>
      <c r="T137" s="22" t="n">
        <f aca="false">IF($S137&gt;$B$20+Scenarios!$E$8-1,0,$B$19*(1+$B$21*Scenarios!$E$7)^5)</f>
        <v>173891.111145</v>
      </c>
      <c r="U137" s="24" t="n">
        <f aca="false">IFERROR($T137/INDEX($C$124:$Q$124,1,MATCH($S137,$C$123:$Q$123,0)),0)</f>
        <v>501.186173544714</v>
      </c>
      <c r="V137" s="24" t="n">
        <f aca="false">SUMPRODUCT(($C$25:$J$25&lt;=$Q$123-$S137+1-$B$22)*$C$27:$J$27)*$U137</f>
        <v>501.186173544714</v>
      </c>
      <c r="W137" s="24" t="n">
        <f aca="false">$U137-$V137</f>
        <v>0</v>
      </c>
    </row>
    <row r="138" customFormat="false" ht="15" hidden="false" customHeight="false" outlineLevel="0" collapsed="false">
      <c r="A138" s="2" t="s">
        <v>120</v>
      </c>
      <c r="C138" s="22" t="n">
        <f aca="false">IF(AND(C$123-$S138+1-$B$22&gt;=1,C$123-$S138+1-$B$22&lt;=8),INDEX($C$27:$J$27,1,C$123-$S138+1-$B$22),0)*$U138*C$124</f>
        <v>0</v>
      </c>
      <c r="D138" s="22" t="n">
        <f aca="false">IF(AND(D$123-$S138+1-$B$22&gt;=1,D$123-$S138+1-$B$22&lt;=8),INDEX($C$27:$J$27,1,D$123-$S138+1-$B$22),0)*$U138*D$124</f>
        <v>0</v>
      </c>
      <c r="E138" s="22" t="n">
        <f aca="false">IF(AND(E$123-$S138+1-$B$22&gt;=1,E$123-$S138+1-$B$22&lt;=8),INDEX($C$27:$J$27,1,E$123-$S138+1-$B$22),0)*$U138*E$124</f>
        <v>0</v>
      </c>
      <c r="F138" s="22" t="n">
        <f aca="false">IF(AND(F$123-$S138+1-$B$22&gt;=1,F$123-$S138+1-$B$22&lt;=8),INDEX($C$27:$J$27,1,F$123-$S138+1-$B$22),0)*$U138*F$124</f>
        <v>0</v>
      </c>
      <c r="G138" s="22" t="n">
        <f aca="false">IF(AND(G$123-$S138+1-$B$22&gt;=1,G$123-$S138+1-$B$22&lt;=8),INDEX($C$27:$J$27,1,G$123-$S138+1-$B$22),0)*$U138*G$124</f>
        <v>0</v>
      </c>
      <c r="H138" s="22" t="n">
        <f aca="false">IF(AND(H$123-$S138+1-$B$22&gt;=1,H$123-$S138+1-$B$22&lt;=8),INDEX($C$27:$J$27,1,H$123-$S138+1-$B$22),0)*$U138*H$124</f>
        <v>0</v>
      </c>
      <c r="I138" s="22" t="n">
        <f aca="false">IF(AND(I$123-$S138+1-$B$22&gt;=1,I$123-$S138+1-$B$22&lt;=8),INDEX($C$27:$J$27,1,I$123-$S138+1-$B$22),0)*$U138*I$124</f>
        <v>0</v>
      </c>
      <c r="J138" s="22" t="n">
        <f aca="false">IF(AND(J$123-$S138+1-$B$22&gt;=1,J$123-$S138+1-$B$22&lt;=8),INDEX($C$27:$J$27,1,J$123-$S138+1-$B$22),0)*$U138*J$124</f>
        <v>0</v>
      </c>
      <c r="K138" s="22" t="n">
        <f aca="false">IF(AND(K$123-$S138+1-$B$22&gt;=1,K$123-$S138+1-$B$22&lt;=8),INDEX($C$27:$J$27,1,K$123-$S138+1-$B$22),0)*$U138*K$124</f>
        <v>51493.5052878131</v>
      </c>
      <c r="L138" s="22" t="n">
        <f aca="false">IF(AND(L$123-$S138+1-$B$22&gt;=1,L$123-$S138+1-$B$22&lt;=8),INDEX($C$27:$J$27,1,L$123-$S138+1-$B$22),0)*$U138*L$124</f>
        <v>59217.5310809851</v>
      </c>
      <c r="M138" s="22" t="n">
        <f aca="false">IF(AND(M$123-$S138+1-$B$22&gt;=1,M$123-$S138+1-$B$22&lt;=8),INDEX($C$27:$J$27,1,M$123-$S138+1-$B$22),0)*$U138*M$124</f>
        <v>68100.1607431328</v>
      </c>
      <c r="N138" s="22" t="n">
        <f aca="false">IF(AND(N$123-$S138+1-$B$22&gt;=1,N$123-$S138+1-$B$22&lt;=8),INDEX($C$27:$J$27,1,N$123-$S138+1-$B$22),0)*$U138*N$124</f>
        <v>78315.1848546028</v>
      </c>
      <c r="O138" s="22" t="n">
        <f aca="false">IF(AND(O$123-$S138+1-$B$22&gt;=1,O$123-$S138+1-$B$22&lt;=8),INDEX($C$27:$J$27,1,O$123-$S138+1-$B$22),0)*$U138*O$124</f>
        <v>0</v>
      </c>
      <c r="P138" s="22" t="n">
        <f aca="false">IF(AND(P$123-$S138+1-$B$22&gt;=1,P$123-$S138+1-$B$22&lt;=8),INDEX($C$27:$J$27,1,P$123-$S138+1-$B$22),0)*$U138*P$124</f>
        <v>0</v>
      </c>
      <c r="Q138" s="22" t="n">
        <f aca="false">IF(AND(Q$123-$S138+1-$B$22&gt;=1,Q$123-$S138+1-$B$22&lt;=8),INDEX($C$27:$J$27,1,Q$123-$S138+1-$B$22),0)*$U138*Q$124</f>
        <v>0</v>
      </c>
      <c r="S138" s="23" t="n">
        <f aca="false">$B$20+6</f>
        <v>2033</v>
      </c>
      <c r="T138" s="22" t="n">
        <f aca="false">IF($S138&gt;$B$20+Scenarios!$E$8-1,0,$B$19*(1+$B$21*Scenarios!$E$7)^6)</f>
        <v>179107.84447935</v>
      </c>
      <c r="U138" s="24" t="n">
        <f aca="false">IFERROR($T138/INDEX($C$124:$Q$124,1,MATCH($S138,$C$123:$Q$123,0)),0)</f>
        <v>448.888485870483</v>
      </c>
      <c r="V138" s="24" t="n">
        <f aca="false">SUMPRODUCT(($C$25:$J$25&lt;=$Q$123-$S138+1-$B$22)*$C$27:$J$27)*$U138</f>
        <v>448.888485870483</v>
      </c>
      <c r="W138" s="24" t="n">
        <f aca="false">$U138-$V138</f>
        <v>0</v>
      </c>
    </row>
    <row r="139" customFormat="false" ht="15" hidden="false" customHeight="false" outlineLevel="0" collapsed="false">
      <c r="A139" s="2" t="s">
        <v>121</v>
      </c>
      <c r="C139" s="22" t="n">
        <f aca="false">IF(AND(C$123-$S139+1-$B$22&gt;=1,C$123-$S139+1-$B$22&lt;=8),INDEX($C$27:$J$27,1,C$123-$S139+1-$B$22),0)*$U139*C$124</f>
        <v>0</v>
      </c>
      <c r="D139" s="22" t="n">
        <f aca="false">IF(AND(D$123-$S139+1-$B$22&gt;=1,D$123-$S139+1-$B$22&lt;=8),INDEX($C$27:$J$27,1,D$123-$S139+1-$B$22),0)*$U139*D$124</f>
        <v>0</v>
      </c>
      <c r="E139" s="22" t="n">
        <f aca="false">IF(AND(E$123-$S139+1-$B$22&gt;=1,E$123-$S139+1-$B$22&lt;=8),INDEX($C$27:$J$27,1,E$123-$S139+1-$B$22),0)*$U139*E$124</f>
        <v>0</v>
      </c>
      <c r="F139" s="22" t="n">
        <f aca="false">IF(AND(F$123-$S139+1-$B$22&gt;=1,F$123-$S139+1-$B$22&lt;=8),INDEX($C$27:$J$27,1,F$123-$S139+1-$B$22),0)*$U139*F$124</f>
        <v>0</v>
      </c>
      <c r="G139" s="22" t="n">
        <f aca="false">IF(AND(G$123-$S139+1-$B$22&gt;=1,G$123-$S139+1-$B$22&lt;=8),INDEX($C$27:$J$27,1,G$123-$S139+1-$B$22),0)*$U139*G$124</f>
        <v>0</v>
      </c>
      <c r="H139" s="22" t="n">
        <f aca="false">IF(AND(H$123-$S139+1-$B$22&gt;=1,H$123-$S139+1-$B$22&lt;=8),INDEX($C$27:$J$27,1,H$123-$S139+1-$B$22),0)*$U139*H$124</f>
        <v>0</v>
      </c>
      <c r="I139" s="22" t="n">
        <f aca="false">IF(AND(I$123-$S139+1-$B$22&gt;=1,I$123-$S139+1-$B$22&lt;=8),INDEX($C$27:$J$27,1,I$123-$S139+1-$B$22),0)*$U139*I$124</f>
        <v>0</v>
      </c>
      <c r="J139" s="22" t="n">
        <f aca="false">IF(AND(J$123-$S139+1-$B$22&gt;=1,J$123-$S139+1-$B$22&lt;=8),INDEX($C$27:$J$27,1,J$123-$S139+1-$B$22),0)*$U139*J$124</f>
        <v>0</v>
      </c>
      <c r="K139" s="22" t="n">
        <f aca="false">IF(AND(K$123-$S139+1-$B$22&gt;=1,K$123-$S139+1-$B$22&lt;=8),INDEX($C$27:$J$27,1,K$123-$S139+1-$B$22),0)*$U139*K$124</f>
        <v>0</v>
      </c>
      <c r="L139" s="22" t="n">
        <f aca="false">IF(AND(L$123-$S139+1-$B$22&gt;=1,L$123-$S139+1-$B$22&lt;=8),INDEX($C$27:$J$27,1,L$123-$S139+1-$B$22),0)*$U139*L$124</f>
        <v>53038.3104464475</v>
      </c>
      <c r="M139" s="22" t="n">
        <f aca="false">IF(AND(M$123-$S139+1-$B$22&gt;=1,M$123-$S139+1-$B$22&lt;=8),INDEX($C$27:$J$27,1,M$123-$S139+1-$B$22),0)*$U139*M$124</f>
        <v>60994.0570134146</v>
      </c>
      <c r="N139" s="22" t="n">
        <f aca="false">IF(AND(N$123-$S139+1-$B$22&gt;=1,N$123-$S139+1-$B$22&lt;=8),INDEX($C$27:$J$27,1,N$123-$S139+1-$B$22),0)*$U139*N$124</f>
        <v>70143.1655654268</v>
      </c>
      <c r="O139" s="22" t="n">
        <f aca="false">IF(AND(O$123-$S139+1-$B$22&gt;=1,O$123-$S139+1-$B$22&lt;=8),INDEX($C$27:$J$27,1,O$123-$S139+1-$B$22),0)*$U139*O$124</f>
        <v>80664.6404002409</v>
      </c>
      <c r="P139" s="22" t="n">
        <f aca="false">IF(AND(P$123-$S139+1-$B$22&gt;=1,P$123-$S139+1-$B$22&lt;=8),INDEX($C$27:$J$27,1,P$123-$S139+1-$B$22),0)*$U139*P$124</f>
        <v>0</v>
      </c>
      <c r="Q139" s="22" t="n">
        <f aca="false">IF(AND(Q$123-$S139+1-$B$22&gt;=1,Q$123-$S139+1-$B$22&lt;=8),INDEX($C$27:$J$27,1,Q$123-$S139+1-$B$22),0)*$U139*Q$124</f>
        <v>0</v>
      </c>
      <c r="S139" s="23" t="n">
        <f aca="false">$B$20+7</f>
        <v>2034</v>
      </c>
      <c r="T139" s="22" t="n">
        <f aca="false">IF($S139&gt;$B$20+Scenarios!$E$8-1,0,$B$19*(1+$B$21*Scenarios!$E$7)^7)</f>
        <v>184481.079813731</v>
      </c>
      <c r="U139" s="24" t="n">
        <f aca="false">IFERROR($T139/INDEX($C$124:$Q$124,1,MATCH($S139,$C$123:$Q$123,0)),0)</f>
        <v>402.047948214433</v>
      </c>
      <c r="V139" s="24" t="n">
        <f aca="false">SUMPRODUCT(($C$25:$J$25&lt;=$Q$123-$S139+1-$B$22)*$C$27:$J$27)*$U139</f>
        <v>402.047948214433</v>
      </c>
      <c r="W139" s="24" t="n">
        <f aca="false">$U139-$V139</f>
        <v>0</v>
      </c>
    </row>
    <row r="140" customFormat="false" ht="15" hidden="false" customHeight="false" outlineLevel="0" collapsed="false">
      <c r="A140" s="2" t="s">
        <v>122</v>
      </c>
      <c r="C140" s="22" t="n">
        <f aca="false">IF(AND(C$123-$S140+1-$B$22&gt;=1,C$123-$S140+1-$B$22&lt;=8),INDEX($C$27:$J$27,1,C$123-$S140+1-$B$22),0)*$U140*C$124</f>
        <v>0</v>
      </c>
      <c r="D140" s="22" t="n">
        <f aca="false">IF(AND(D$123-$S140+1-$B$22&gt;=1,D$123-$S140+1-$B$22&lt;=8),INDEX($C$27:$J$27,1,D$123-$S140+1-$B$22),0)*$U140*D$124</f>
        <v>0</v>
      </c>
      <c r="E140" s="22" t="n">
        <f aca="false">IF(AND(E$123-$S140+1-$B$22&gt;=1,E$123-$S140+1-$B$22&lt;=8),INDEX($C$27:$J$27,1,E$123-$S140+1-$B$22),0)*$U140*E$124</f>
        <v>0</v>
      </c>
      <c r="F140" s="22" t="n">
        <f aca="false">IF(AND(F$123-$S140+1-$B$22&gt;=1,F$123-$S140+1-$B$22&lt;=8),INDEX($C$27:$J$27,1,F$123-$S140+1-$B$22),0)*$U140*F$124</f>
        <v>0</v>
      </c>
      <c r="G140" s="22" t="n">
        <f aca="false">IF(AND(G$123-$S140+1-$B$22&gt;=1,G$123-$S140+1-$B$22&lt;=8),INDEX($C$27:$J$27,1,G$123-$S140+1-$B$22),0)*$U140*G$124</f>
        <v>0</v>
      </c>
      <c r="H140" s="22" t="n">
        <f aca="false">IF(AND(H$123-$S140+1-$B$22&gt;=1,H$123-$S140+1-$B$22&lt;=8),INDEX($C$27:$J$27,1,H$123-$S140+1-$B$22),0)*$U140*H$124</f>
        <v>0</v>
      </c>
      <c r="I140" s="22" t="n">
        <f aca="false">IF(AND(I$123-$S140+1-$B$22&gt;=1,I$123-$S140+1-$B$22&lt;=8),INDEX($C$27:$J$27,1,I$123-$S140+1-$B$22),0)*$U140*I$124</f>
        <v>0</v>
      </c>
      <c r="J140" s="22" t="n">
        <f aca="false">IF(AND(J$123-$S140+1-$B$22&gt;=1,J$123-$S140+1-$B$22&lt;=8),INDEX($C$27:$J$27,1,J$123-$S140+1-$B$22),0)*$U140*J$124</f>
        <v>0</v>
      </c>
      <c r="K140" s="22" t="n">
        <f aca="false">IF(AND(K$123-$S140+1-$B$22&gt;=1,K$123-$S140+1-$B$22&lt;=8),INDEX($C$27:$J$27,1,K$123-$S140+1-$B$22),0)*$U140*K$124</f>
        <v>0</v>
      </c>
      <c r="L140" s="22" t="n">
        <f aca="false">IF(AND(L$123-$S140+1-$B$22&gt;=1,L$123-$S140+1-$B$22&lt;=8),INDEX($C$27:$J$27,1,L$123-$S140+1-$B$22),0)*$U140*L$124</f>
        <v>0</v>
      </c>
      <c r="M140" s="22" t="n">
        <f aca="false">IF(AND(M$123-$S140+1-$B$22&gt;=1,M$123-$S140+1-$B$22&lt;=8),INDEX($C$27:$J$27,1,M$123-$S140+1-$B$22),0)*$U140*M$124</f>
        <v>54629.459759841</v>
      </c>
      <c r="N140" s="22" t="n">
        <f aca="false">IF(AND(N$123-$S140+1-$B$22&gt;=1,N$123-$S140+1-$B$22&lt;=8),INDEX($C$27:$J$27,1,N$123-$S140+1-$B$22),0)*$U140*N$124</f>
        <v>62823.8787238171</v>
      </c>
      <c r="O140" s="22" t="n">
        <f aca="false">IF(AND(O$123-$S140+1-$B$22&gt;=1,O$123-$S140+1-$B$22&lt;=8),INDEX($C$27:$J$27,1,O$123-$S140+1-$B$22),0)*$U140*O$124</f>
        <v>72247.4605323896</v>
      </c>
      <c r="P140" s="22" t="n">
        <f aca="false">IF(AND(P$123-$S140+1-$B$22&gt;=1,P$123-$S140+1-$B$22&lt;=8),INDEX($C$27:$J$27,1,P$123-$S140+1-$B$22),0)*$U140*P$124</f>
        <v>83084.5796122481</v>
      </c>
      <c r="Q140" s="22" t="n">
        <f aca="false">IF(AND(Q$123-$S140+1-$B$22&gt;=1,Q$123-$S140+1-$B$22&lt;=8),INDEX($C$27:$J$27,1,Q$123-$S140+1-$B$22),0)*$U140*Q$124</f>
        <v>0</v>
      </c>
      <c r="S140" s="23" t="n">
        <f aca="false">$B$20+8</f>
        <v>2035</v>
      </c>
      <c r="T140" s="22" t="n">
        <f aca="false">IF($S140&gt;$B$20+Scenarios!$E$8-1,0,$B$19*(1+$B$21*Scenarios!$E$7)^8)</f>
        <v>190015.512208142</v>
      </c>
      <c r="U140" s="24" t="n">
        <f aca="false">IFERROR($T140/INDEX($C$124:$Q$124,1,MATCH($S140,$C$123:$Q$123,0)),0)</f>
        <v>360.095118835535</v>
      </c>
      <c r="V140" s="24" t="n">
        <f aca="false">SUMPRODUCT(($C$25:$J$25&lt;=$Q$123-$S140+1-$B$22)*$C$27:$J$27)*$U140</f>
        <v>360.095118835535</v>
      </c>
      <c r="W140" s="24" t="n">
        <f aca="false">$U140-$V140</f>
        <v>0</v>
      </c>
    </row>
    <row r="141" customFormat="false" ht="15" hidden="false" customHeight="false" outlineLevel="0" collapsed="false">
      <c r="A141" s="2" t="s">
        <v>123</v>
      </c>
      <c r="C141" s="22" t="n">
        <f aca="false">IF(AND(C$123-$S141+1-$B$22&gt;=1,C$123-$S141+1-$B$22&lt;=8),INDEX($C$27:$J$27,1,C$123-$S141+1-$B$22),0)*$U141*C$124</f>
        <v>0</v>
      </c>
      <c r="D141" s="22" t="n">
        <f aca="false">IF(AND(D$123-$S141+1-$B$22&gt;=1,D$123-$S141+1-$B$22&lt;=8),INDEX($C$27:$J$27,1,D$123-$S141+1-$B$22),0)*$U141*D$124</f>
        <v>0</v>
      </c>
      <c r="E141" s="22" t="n">
        <f aca="false">IF(AND(E$123-$S141+1-$B$22&gt;=1,E$123-$S141+1-$B$22&lt;=8),INDEX($C$27:$J$27,1,E$123-$S141+1-$B$22),0)*$U141*E$124</f>
        <v>0</v>
      </c>
      <c r="F141" s="22" t="n">
        <f aca="false">IF(AND(F$123-$S141+1-$B$22&gt;=1,F$123-$S141+1-$B$22&lt;=8),INDEX($C$27:$J$27,1,F$123-$S141+1-$B$22),0)*$U141*F$124</f>
        <v>0</v>
      </c>
      <c r="G141" s="22" t="n">
        <f aca="false">IF(AND(G$123-$S141+1-$B$22&gt;=1,G$123-$S141+1-$B$22&lt;=8),INDEX($C$27:$J$27,1,G$123-$S141+1-$B$22),0)*$U141*G$124</f>
        <v>0</v>
      </c>
      <c r="H141" s="22" t="n">
        <f aca="false">IF(AND(H$123-$S141+1-$B$22&gt;=1,H$123-$S141+1-$B$22&lt;=8),INDEX($C$27:$J$27,1,H$123-$S141+1-$B$22),0)*$U141*H$124</f>
        <v>0</v>
      </c>
      <c r="I141" s="22" t="n">
        <f aca="false">IF(AND(I$123-$S141+1-$B$22&gt;=1,I$123-$S141+1-$B$22&lt;=8),INDEX($C$27:$J$27,1,I$123-$S141+1-$B$22),0)*$U141*I$124</f>
        <v>0</v>
      </c>
      <c r="J141" s="22" t="n">
        <f aca="false">IF(AND(J$123-$S141+1-$B$22&gt;=1,J$123-$S141+1-$B$22&lt;=8),INDEX($C$27:$J$27,1,J$123-$S141+1-$B$22),0)*$U141*J$124</f>
        <v>0</v>
      </c>
      <c r="K141" s="22" t="n">
        <f aca="false">IF(AND(K$123-$S141+1-$B$22&gt;=1,K$123-$S141+1-$B$22&lt;=8),INDEX($C$27:$J$27,1,K$123-$S141+1-$B$22),0)*$U141*K$124</f>
        <v>0</v>
      </c>
      <c r="L141" s="22" t="n">
        <f aca="false">IF(AND(L$123-$S141+1-$B$22&gt;=1,L$123-$S141+1-$B$22&lt;=8),INDEX($C$27:$J$27,1,L$123-$S141+1-$B$22),0)*$U141*L$124</f>
        <v>0</v>
      </c>
      <c r="M141" s="22" t="n">
        <f aca="false">IF(AND(M$123-$S141+1-$B$22&gt;=1,M$123-$S141+1-$B$22&lt;=8),INDEX($C$27:$J$27,1,M$123-$S141+1-$B$22),0)*$U141*M$124</f>
        <v>0</v>
      </c>
      <c r="N141" s="22" t="n">
        <f aca="false">IF(AND(N$123-$S141+1-$B$22&gt;=1,N$123-$S141+1-$B$22&lt;=8),INDEX($C$27:$J$27,1,N$123-$S141+1-$B$22),0)*$U141*N$124</f>
        <v>56268.3435526362</v>
      </c>
      <c r="O141" s="22" t="n">
        <f aca="false">IF(AND(O$123-$S141+1-$B$22&gt;=1,O$123-$S141+1-$B$22&lt;=8),INDEX($C$27:$J$27,1,O$123-$S141+1-$B$22),0)*$U141*O$124</f>
        <v>64708.5950855316</v>
      </c>
      <c r="P141" s="22" t="n">
        <f aca="false">IF(AND(P$123-$S141+1-$B$22&gt;=1,P$123-$S141+1-$B$22&lt;=8),INDEX($C$27:$J$27,1,P$123-$S141+1-$B$22),0)*$U141*P$124</f>
        <v>74414.8843483613</v>
      </c>
      <c r="Q141" s="22" t="n">
        <f aca="false">IF(AND(Q$123-$S141+1-$B$22&gt;=1,Q$123-$S141+1-$B$22&lt;=8),INDEX($C$27:$J$27,1,Q$123-$S141+1-$B$22),0)*$U141*Q$124</f>
        <v>85577.1170006155</v>
      </c>
      <c r="S141" s="23" t="n">
        <f aca="false">$B$20+9</f>
        <v>2036</v>
      </c>
      <c r="T141" s="22" t="n">
        <f aca="false">IF($S141&gt;$B$20+Scenarios!$E$8-1,0,$B$19*(1+$B$21*Scenarios!$E$7)^9)</f>
        <v>195715.977574387</v>
      </c>
      <c r="U141" s="24" t="n">
        <f aca="false">IFERROR($T141/INDEX($C$124:$Q$124,1,MATCH($S141,$C$123:$Q$123,0)),0)</f>
        <v>322.519976000523</v>
      </c>
      <c r="V141" s="24" t="n">
        <f aca="false">SUMPRODUCT(($C$25:$J$25&lt;=$Q$123-$S141+1-$B$22)*$C$27:$J$27)*$U141</f>
        <v>322.519976000523</v>
      </c>
      <c r="W141" s="24" t="n">
        <f aca="false">$U141-$V141</f>
        <v>0</v>
      </c>
    </row>
    <row r="142" customFormat="false" ht="15" hidden="false" customHeight="false" outlineLevel="0" collapsed="false">
      <c r="A142" s="2" t="s">
        <v>124</v>
      </c>
      <c r="C142" s="22" t="n">
        <f aca="false">IF(AND(C$123-$S142+1-$B$22&gt;=1,C$123-$S142+1-$B$22&lt;=8),INDEX($C$27:$J$27,1,C$123-$S142+1-$B$22),0)*$U142*C$124</f>
        <v>0</v>
      </c>
      <c r="D142" s="22" t="n">
        <f aca="false">IF(AND(D$123-$S142+1-$B$22&gt;=1,D$123-$S142+1-$B$22&lt;=8),INDEX($C$27:$J$27,1,D$123-$S142+1-$B$22),0)*$U142*D$124</f>
        <v>0</v>
      </c>
      <c r="E142" s="22" t="n">
        <f aca="false">IF(AND(E$123-$S142+1-$B$22&gt;=1,E$123-$S142+1-$B$22&lt;=8),INDEX($C$27:$J$27,1,E$123-$S142+1-$B$22),0)*$U142*E$124</f>
        <v>0</v>
      </c>
      <c r="F142" s="22" t="n">
        <f aca="false">IF(AND(F$123-$S142+1-$B$22&gt;=1,F$123-$S142+1-$B$22&lt;=8),INDEX($C$27:$J$27,1,F$123-$S142+1-$B$22),0)*$U142*F$124</f>
        <v>0</v>
      </c>
      <c r="G142" s="22" t="n">
        <f aca="false">IF(AND(G$123-$S142+1-$B$22&gt;=1,G$123-$S142+1-$B$22&lt;=8),INDEX($C$27:$J$27,1,G$123-$S142+1-$B$22),0)*$U142*G$124</f>
        <v>0</v>
      </c>
      <c r="H142" s="22" t="n">
        <f aca="false">IF(AND(H$123-$S142+1-$B$22&gt;=1,H$123-$S142+1-$B$22&lt;=8),INDEX($C$27:$J$27,1,H$123-$S142+1-$B$22),0)*$U142*H$124</f>
        <v>0</v>
      </c>
      <c r="I142" s="22" t="n">
        <f aca="false">IF(AND(I$123-$S142+1-$B$22&gt;=1,I$123-$S142+1-$B$22&lt;=8),INDEX($C$27:$J$27,1,I$123-$S142+1-$B$22),0)*$U142*I$124</f>
        <v>0</v>
      </c>
      <c r="J142" s="22" t="n">
        <f aca="false">IF(AND(J$123-$S142+1-$B$22&gt;=1,J$123-$S142+1-$B$22&lt;=8),INDEX($C$27:$J$27,1,J$123-$S142+1-$B$22),0)*$U142*J$124</f>
        <v>0</v>
      </c>
      <c r="K142" s="22" t="n">
        <f aca="false">IF(AND(K$123-$S142+1-$B$22&gt;=1,K$123-$S142+1-$B$22&lt;=8),INDEX($C$27:$J$27,1,K$123-$S142+1-$B$22),0)*$U142*K$124</f>
        <v>0</v>
      </c>
      <c r="L142" s="22" t="n">
        <f aca="false">IF(AND(L$123-$S142+1-$B$22&gt;=1,L$123-$S142+1-$B$22&lt;=8),INDEX($C$27:$J$27,1,L$123-$S142+1-$B$22),0)*$U142*L$124</f>
        <v>0</v>
      </c>
      <c r="M142" s="22" t="n">
        <f aca="false">IF(AND(M$123-$S142+1-$B$22&gt;=1,M$123-$S142+1-$B$22&lt;=8),INDEX($C$27:$J$27,1,M$123-$S142+1-$B$22),0)*$U142*M$124</f>
        <v>0</v>
      </c>
      <c r="N142" s="22" t="n">
        <f aca="false">IF(AND(N$123-$S142+1-$B$22&gt;=1,N$123-$S142+1-$B$22&lt;=8),INDEX($C$27:$J$27,1,N$123-$S142+1-$B$22),0)*$U142*N$124</f>
        <v>0</v>
      </c>
      <c r="O142" s="22" t="n">
        <f aca="false">IF(AND(O$123-$S142+1-$B$22&gt;=1,O$123-$S142+1-$B$22&lt;=8),INDEX($C$27:$J$27,1,O$123-$S142+1-$B$22),0)*$U142*O$124</f>
        <v>57956.3938592153</v>
      </c>
      <c r="P142" s="22" t="n">
        <f aca="false">IF(AND(P$123-$S142+1-$B$22&gt;=1,P$123-$S142+1-$B$22&lt;=8),INDEX($C$27:$J$27,1,P$123-$S142+1-$B$22),0)*$U142*P$124</f>
        <v>66649.8529380976</v>
      </c>
      <c r="Q142" s="22" t="n">
        <f aca="false">IF(AND(Q$123-$S142+1-$B$22&gt;=1,Q$123-$S142+1-$B$22&lt;=8),INDEX($C$27:$J$27,1,Q$123-$S142+1-$B$22),0)*$U142*Q$124</f>
        <v>76647.3308788122</v>
      </c>
      <c r="S142" s="23" t="n">
        <f aca="false">$B$20+10</f>
        <v>2037</v>
      </c>
      <c r="T142" s="22" t="n">
        <f aca="false">IF($S142&gt;$B$20+Scenarios!$E$8-1,0,$B$19*(1+$B$21*Scenarios!$E$7)^10)</f>
        <v>201587.456901618</v>
      </c>
      <c r="U142" s="24" t="n">
        <f aca="false">IFERROR($T142/INDEX($C$124:$Q$124,1,MATCH($S142,$C$123:$Q$123,0)),0)</f>
        <v>288.865717635251</v>
      </c>
      <c r="V142" s="24" t="n">
        <f aca="false">SUMPRODUCT(($C$25:$J$25&lt;=$Q$123-$S142+1-$B$22)*$C$27:$J$27)*$U142</f>
        <v>216.649288226438</v>
      </c>
      <c r="W142" s="24" t="n">
        <f aca="false">$U142-$V142</f>
        <v>72.2164294088128</v>
      </c>
    </row>
    <row r="143" customFormat="false" ht="15" hidden="false" customHeight="false" outlineLevel="0" collapsed="false">
      <c r="A143" s="2" t="s">
        <v>125</v>
      </c>
      <c r="C143" s="22" t="n">
        <f aca="false">IF(AND(C$123-$S143+1-$B$22&gt;=1,C$123-$S143+1-$B$22&lt;=8),INDEX($C$27:$J$27,1,C$123-$S143+1-$B$22),0)*$U143*C$124</f>
        <v>0</v>
      </c>
      <c r="D143" s="22" t="n">
        <f aca="false">IF(AND(D$123-$S143+1-$B$22&gt;=1,D$123-$S143+1-$B$22&lt;=8),INDEX($C$27:$J$27,1,D$123-$S143+1-$B$22),0)*$U143*D$124</f>
        <v>0</v>
      </c>
      <c r="E143" s="22" t="n">
        <f aca="false">IF(AND(E$123-$S143+1-$B$22&gt;=1,E$123-$S143+1-$B$22&lt;=8),INDEX($C$27:$J$27,1,E$123-$S143+1-$B$22),0)*$U143*E$124</f>
        <v>0</v>
      </c>
      <c r="F143" s="22" t="n">
        <f aca="false">IF(AND(F$123-$S143+1-$B$22&gt;=1,F$123-$S143+1-$B$22&lt;=8),INDEX($C$27:$J$27,1,F$123-$S143+1-$B$22),0)*$U143*F$124</f>
        <v>0</v>
      </c>
      <c r="G143" s="22" t="n">
        <f aca="false">IF(AND(G$123-$S143+1-$B$22&gt;=1,G$123-$S143+1-$B$22&lt;=8),INDEX($C$27:$J$27,1,G$123-$S143+1-$B$22),0)*$U143*G$124</f>
        <v>0</v>
      </c>
      <c r="H143" s="22" t="n">
        <f aca="false">IF(AND(H$123-$S143+1-$B$22&gt;=1,H$123-$S143+1-$B$22&lt;=8),INDEX($C$27:$J$27,1,H$123-$S143+1-$B$22),0)*$U143*H$124</f>
        <v>0</v>
      </c>
      <c r="I143" s="22" t="n">
        <f aca="false">IF(AND(I$123-$S143+1-$B$22&gt;=1,I$123-$S143+1-$B$22&lt;=8),INDEX($C$27:$J$27,1,I$123-$S143+1-$B$22),0)*$U143*I$124</f>
        <v>0</v>
      </c>
      <c r="J143" s="22" t="n">
        <f aca="false">IF(AND(J$123-$S143+1-$B$22&gt;=1,J$123-$S143+1-$B$22&lt;=8),INDEX($C$27:$J$27,1,J$123-$S143+1-$B$22),0)*$U143*J$124</f>
        <v>0</v>
      </c>
      <c r="K143" s="22" t="n">
        <f aca="false">IF(AND(K$123-$S143+1-$B$22&gt;=1,K$123-$S143+1-$B$22&lt;=8),INDEX($C$27:$J$27,1,K$123-$S143+1-$B$22),0)*$U143*K$124</f>
        <v>0</v>
      </c>
      <c r="L143" s="22" t="n">
        <f aca="false">IF(AND(L$123-$S143+1-$B$22&gt;=1,L$123-$S143+1-$B$22&lt;=8),INDEX($C$27:$J$27,1,L$123-$S143+1-$B$22),0)*$U143*L$124</f>
        <v>0</v>
      </c>
      <c r="M143" s="22" t="n">
        <f aca="false">IF(AND(M$123-$S143+1-$B$22&gt;=1,M$123-$S143+1-$B$22&lt;=8),INDEX($C$27:$J$27,1,M$123-$S143+1-$B$22),0)*$U143*M$124</f>
        <v>0</v>
      </c>
      <c r="N143" s="22" t="n">
        <f aca="false">IF(AND(N$123-$S143+1-$B$22&gt;=1,N$123-$S143+1-$B$22&lt;=8),INDEX($C$27:$J$27,1,N$123-$S143+1-$B$22),0)*$U143*N$124</f>
        <v>0</v>
      </c>
      <c r="O143" s="22" t="n">
        <f aca="false">IF(AND(O$123-$S143+1-$B$22&gt;=1,O$123-$S143+1-$B$22&lt;=8),INDEX($C$27:$J$27,1,O$123-$S143+1-$B$22),0)*$U143*O$124</f>
        <v>0</v>
      </c>
      <c r="P143" s="22" t="n">
        <f aca="false">IF(AND(P$123-$S143+1-$B$22&gt;=1,P$123-$S143+1-$B$22&lt;=8),INDEX($C$27:$J$27,1,P$123-$S143+1-$B$22),0)*$U143*P$124</f>
        <v>59695.0856749917</v>
      </c>
      <c r="Q143" s="22" t="n">
        <f aca="false">IF(AND(Q$123-$S143+1-$B$22&gt;=1,Q$123-$S143+1-$B$22&lt;=8),INDEX($C$27:$J$27,1,Q$123-$S143+1-$B$22),0)*$U143*Q$124</f>
        <v>68649.3485262405</v>
      </c>
      <c r="S143" s="23" t="n">
        <f aca="false">$B$20+11</f>
        <v>2038</v>
      </c>
      <c r="T143" s="22" t="n">
        <f aca="false">IF($S143&gt;$B$20+Scenarios!$E$8-1,0,$B$19*(1+$B$21*Scenarios!$E$7)^11)</f>
        <v>207635.080608667</v>
      </c>
      <c r="U143" s="24" t="n">
        <f aca="false">IFERROR($T143/INDEX($C$124:$Q$124,1,MATCH($S143,$C$123:$Q$123,0)),0)</f>
        <v>258.723207968964</v>
      </c>
      <c r="V143" s="24" t="n">
        <f aca="false">SUMPRODUCT(($C$25:$J$25&lt;=$Q$123-$S143+1-$B$22)*$C$27:$J$27)*$U143</f>
        <v>129.361603984482</v>
      </c>
      <c r="W143" s="24" t="n">
        <f aca="false">$U143-$V143</f>
        <v>129.361603984482</v>
      </c>
    </row>
    <row r="145" customFormat="false" ht="15" hidden="false" customHeight="false" outlineLevel="0" collapsed="false">
      <c r="A145" s="2" t="s">
        <v>126</v>
      </c>
      <c r="C145" s="22" t="n">
        <f aca="false">C131</f>
        <v>0</v>
      </c>
      <c r="D145" s="22" t="n">
        <f aca="false">D131</f>
        <v>184000</v>
      </c>
      <c r="E145" s="22" t="n">
        <f aca="false">E131</f>
        <v>148120</v>
      </c>
      <c r="F145" s="22" t="n">
        <f aca="false">F131</f>
        <v>121670</v>
      </c>
      <c r="G145" s="22" t="n">
        <f aca="false">G131</f>
        <v>83952.3</v>
      </c>
      <c r="H145" s="22" t="n">
        <f aca="false">H131</f>
        <v>0</v>
      </c>
      <c r="I145" s="22" t="n">
        <f aca="false">I131</f>
        <v>0</v>
      </c>
      <c r="J145" s="22" t="n">
        <f aca="false">J131</f>
        <v>0</v>
      </c>
      <c r="K145" s="22" t="n">
        <f aca="false">K131</f>
        <v>0</v>
      </c>
      <c r="L145" s="22" t="n">
        <f aca="false">L131</f>
        <v>0</v>
      </c>
      <c r="M145" s="22" t="n">
        <f aca="false">M131</f>
        <v>0</v>
      </c>
      <c r="N145" s="22" t="n">
        <f aca="false">N131</f>
        <v>0</v>
      </c>
      <c r="O145" s="22" t="n">
        <f aca="false">O131</f>
        <v>0</v>
      </c>
      <c r="P145" s="22" t="n">
        <f aca="false">P131</f>
        <v>0</v>
      </c>
      <c r="Q145" s="22" t="n">
        <f aca="false">Q131</f>
        <v>0</v>
      </c>
    </row>
    <row r="146" customFormat="false" ht="15" hidden="false" customHeight="false" outlineLevel="0" collapsed="false">
      <c r="A146" s="2" t="s">
        <v>127</v>
      </c>
      <c r="C146" s="22" t="n">
        <f aca="false">SUM(C132:C143)</f>
        <v>0</v>
      </c>
      <c r="D146" s="22" t="n">
        <f aca="false">SUM(D132:D143)</f>
        <v>0</v>
      </c>
      <c r="E146" s="22" t="n">
        <f aca="false">SUM(E132:E143)</f>
        <v>43125</v>
      </c>
      <c r="F146" s="22" t="n">
        <f aca="false">SUM(F132:F143)</f>
        <v>94012.5</v>
      </c>
      <c r="G146" s="22" t="n">
        <f aca="false">SUM(G132:G143)</f>
        <v>153865.6875</v>
      </c>
      <c r="H146" s="22" t="n">
        <f aca="false">SUM(H132:H143)</f>
        <v>224069.3925</v>
      </c>
      <c r="I146" s="22" t="n">
        <f aca="false">SUM(I132:I143)</f>
        <v>230791.474275</v>
      </c>
      <c r="J146" s="22" t="n">
        <f aca="false">SUM(J132:J143)</f>
        <v>237715.21850325</v>
      </c>
      <c r="K146" s="22" t="n">
        <f aca="false">SUM(K132:K143)</f>
        <v>244846.675058347</v>
      </c>
      <c r="L146" s="22" t="n">
        <f aca="false">SUM(L132:L143)</f>
        <v>252192.075310098</v>
      </c>
      <c r="M146" s="22" t="n">
        <f aca="false">SUM(M132:M143)</f>
        <v>259757.837569401</v>
      </c>
      <c r="N146" s="22" t="n">
        <f aca="false">SUM(N132:N143)</f>
        <v>267550.572696483</v>
      </c>
      <c r="O146" s="22" t="n">
        <f aca="false">SUM(O132:O143)</f>
        <v>275577.089877377</v>
      </c>
      <c r="P146" s="22" t="n">
        <f aca="false">SUM(P132:P143)</f>
        <v>283844.402573699</v>
      </c>
      <c r="Q146" s="22" t="n">
        <f aca="false">SUM(Q132:Q143)</f>
        <v>230873.796405668</v>
      </c>
    </row>
    <row r="147" customFormat="false" ht="15" hidden="false" customHeight="false" outlineLevel="0" collapsed="false">
      <c r="A147" s="3" t="s">
        <v>128</v>
      </c>
      <c r="C147" s="25" t="n">
        <f aca="false">C145+C146</f>
        <v>0</v>
      </c>
      <c r="D147" s="25" t="n">
        <f aca="false">D145+D146</f>
        <v>184000</v>
      </c>
      <c r="E147" s="25" t="n">
        <f aca="false">E145+E146</f>
        <v>191245</v>
      </c>
      <c r="F147" s="25" t="n">
        <f aca="false">F145+F146</f>
        <v>215682.5</v>
      </c>
      <c r="G147" s="25" t="n">
        <f aca="false">G145+G146</f>
        <v>237817.9875</v>
      </c>
      <c r="H147" s="25" t="n">
        <f aca="false">H145+H146</f>
        <v>224069.3925</v>
      </c>
      <c r="I147" s="25" t="n">
        <f aca="false">I145+I146</f>
        <v>230791.474275</v>
      </c>
      <c r="J147" s="25" t="n">
        <f aca="false">J145+J146</f>
        <v>237715.21850325</v>
      </c>
      <c r="K147" s="25" t="n">
        <f aca="false">K145+K146</f>
        <v>244846.675058347</v>
      </c>
      <c r="L147" s="25" t="n">
        <f aca="false">L145+L146</f>
        <v>252192.075310098</v>
      </c>
      <c r="M147" s="25" t="n">
        <f aca="false">M145+M146</f>
        <v>259757.837569401</v>
      </c>
      <c r="N147" s="25" t="n">
        <f aca="false">N145+N146</f>
        <v>267550.572696483</v>
      </c>
      <c r="O147" s="25" t="n">
        <f aca="false">O145+O146</f>
        <v>275577.089877377</v>
      </c>
      <c r="P147" s="25" t="n">
        <f aca="false">P145+P146</f>
        <v>283844.402573699</v>
      </c>
      <c r="Q147" s="25" t="n">
        <f aca="false">Q145+Q146</f>
        <v>230873.796405668</v>
      </c>
    </row>
    <row r="148" customFormat="false" ht="15" hidden="false" customHeight="false" outlineLevel="0" collapsed="false">
      <c r="A148" s="2" t="s">
        <v>129</v>
      </c>
      <c r="C148" s="23" t="n">
        <f aca="false">SUMPRODUCT((C131:C143&gt;0)*1)</f>
        <v>0</v>
      </c>
      <c r="D148" s="23" t="n">
        <f aca="false">SUMPRODUCT((D131:D143&gt;0)*1)</f>
        <v>1</v>
      </c>
      <c r="E148" s="23" t="n">
        <f aca="false">SUMPRODUCT((E131:E143&gt;0)*1)</f>
        <v>2</v>
      </c>
      <c r="F148" s="23" t="n">
        <f aca="false">SUMPRODUCT((F131:F143&gt;0)*1)</f>
        <v>3</v>
      </c>
      <c r="G148" s="23" t="n">
        <f aca="false">SUMPRODUCT((G131:G143&gt;0)*1)</f>
        <v>4</v>
      </c>
      <c r="H148" s="23" t="n">
        <f aca="false">SUMPRODUCT((H131:H143&gt;0)*1)</f>
        <v>4</v>
      </c>
      <c r="I148" s="23" t="n">
        <f aca="false">SUMPRODUCT((I131:I143&gt;0)*1)</f>
        <v>4</v>
      </c>
      <c r="J148" s="23" t="n">
        <f aca="false">SUMPRODUCT((J131:J143&gt;0)*1)</f>
        <v>4</v>
      </c>
      <c r="K148" s="23" t="n">
        <f aca="false">SUMPRODUCT((K131:K143&gt;0)*1)</f>
        <v>4</v>
      </c>
      <c r="L148" s="23" t="n">
        <f aca="false">SUMPRODUCT((L131:L143&gt;0)*1)</f>
        <v>4</v>
      </c>
      <c r="M148" s="23" t="n">
        <f aca="false">SUMPRODUCT((M131:M143&gt;0)*1)</f>
        <v>4</v>
      </c>
      <c r="N148" s="23" t="n">
        <f aca="false">SUMPRODUCT((N131:N143&gt;0)*1)</f>
        <v>4</v>
      </c>
      <c r="O148" s="23" t="n">
        <f aca="false">SUMPRODUCT((O131:O143&gt;0)*1)</f>
        <v>4</v>
      </c>
      <c r="P148" s="23" t="n">
        <f aca="false">SUMPRODUCT((P131:P143&gt;0)*1)</f>
        <v>4</v>
      </c>
      <c r="Q148" s="23" t="n">
        <f aca="false">SUMPRODUCT((Q131:Q143&gt;0)*1)</f>
        <v>3</v>
      </c>
    </row>
    <row r="150" customFormat="false" ht="15" hidden="false" customHeight="false" outlineLevel="0" collapsed="false">
      <c r="A150" s="3" t="s">
        <v>130</v>
      </c>
      <c r="C150" s="26" t="n">
        <f aca="false">C125+C127+C128+C147</f>
        <v>250000</v>
      </c>
      <c r="D150" s="26" t="n">
        <f aca="false">D125+D127+D128+D147</f>
        <v>500475</v>
      </c>
      <c r="E150" s="26" t="n">
        <f aca="false">E125+E127+E128+E147</f>
        <v>469711.375</v>
      </c>
      <c r="F150" s="26" t="n">
        <f aca="false">F125+F127+F128+F147</f>
        <v>506679.861875</v>
      </c>
      <c r="G150" s="26" t="n">
        <f aca="false">G125+G127+G128+G147</f>
        <v>541910.230659375</v>
      </c>
      <c r="H150" s="26" t="n">
        <f aca="false">H125+H127+H128+H147</f>
        <v>541845.786601547</v>
      </c>
      <c r="I150" s="26" t="n">
        <f aca="false">I125+I127+I128+I147</f>
        <v>562867.806111116</v>
      </c>
      <c r="J150" s="26" t="n">
        <f aca="false">J125+J127+J128+J147</f>
        <v>584734.985271992</v>
      </c>
      <c r="K150" s="26" t="n">
        <f aca="false">K125+K127+K128+K147</f>
        <v>607482.331331682</v>
      </c>
      <c r="L150" s="26" t="n">
        <f aca="false">L125+L127+L128+L147</f>
        <v>631146.336115733</v>
      </c>
      <c r="M150" s="26" t="n">
        <f aca="false">M125+M127+M128+M147</f>
        <v>655765.040111289</v>
      </c>
      <c r="N150" s="26" t="n">
        <f aca="false">N125+N127+N128+N147</f>
        <v>681378.099352756</v>
      </c>
      <c r="O150" s="26" t="n">
        <f aca="false">O125+O127+O128+O147</f>
        <v>708026.855233183</v>
      </c>
      <c r="P150" s="26" t="n">
        <f aca="false">P125+P127+P128+P147</f>
        <v>735754.407370516</v>
      </c>
      <c r="Q150" s="26" t="n">
        <f aca="false">Q125+Q127+Q128+Q147</f>
        <v>703119.751418342</v>
      </c>
    </row>
    <row r="151" customFormat="false" ht="15" hidden="false" customHeight="false" outlineLevel="0" collapsed="false">
      <c r="A151" s="3" t="s">
        <v>131</v>
      </c>
      <c r="C151" s="25" t="n">
        <f aca="false">C150</f>
        <v>250000</v>
      </c>
      <c r="D151" s="25" t="n">
        <f aca="false">C151+D150</f>
        <v>750475</v>
      </c>
      <c r="E151" s="25" t="n">
        <f aca="false">D151+E150</f>
        <v>1220186.375</v>
      </c>
      <c r="F151" s="25" t="n">
        <f aca="false">E151+F150</f>
        <v>1726866.236875</v>
      </c>
      <c r="G151" s="25" t="n">
        <f aca="false">F151+G150</f>
        <v>2268776.46753438</v>
      </c>
      <c r="H151" s="25" t="n">
        <f aca="false">G151+H150</f>
        <v>2810622.25413592</v>
      </c>
      <c r="I151" s="25" t="n">
        <f aca="false">H151+I150</f>
        <v>3373490.06024704</v>
      </c>
      <c r="J151" s="25" t="n">
        <f aca="false">I151+J150</f>
        <v>3958225.04551903</v>
      </c>
      <c r="K151" s="25" t="n">
        <f aca="false">J151+K150</f>
        <v>4565707.37685071</v>
      </c>
      <c r="L151" s="25" t="n">
        <f aca="false">K151+L150</f>
        <v>5196853.71296645</v>
      </c>
      <c r="M151" s="25" t="n">
        <f aca="false">L151+M150</f>
        <v>5852618.75307773</v>
      </c>
      <c r="N151" s="25" t="n">
        <f aca="false">M151+N150</f>
        <v>6533996.85243049</v>
      </c>
      <c r="O151" s="25" t="n">
        <f aca="false">N151+O150</f>
        <v>7242023.70766367</v>
      </c>
      <c r="P151" s="25" t="n">
        <f aca="false">O151+P150</f>
        <v>7977778.11503419</v>
      </c>
      <c r="Q151" s="25" t="n">
        <f aca="false">P151+Q150</f>
        <v>8680897.86645253</v>
      </c>
    </row>
    <row r="153" customFormat="false" ht="15" hidden="false" customHeight="false" outlineLevel="0" collapsed="false">
      <c r="A153" s="2" t="s">
        <v>132</v>
      </c>
      <c r="B153" s="24" t="n">
        <f aca="false">SUM(W131:W143)</f>
        <v>201.578033393295</v>
      </c>
    </row>
    <row r="154" customFormat="false" ht="15" hidden="false" customHeight="false" outlineLevel="0" collapsed="false">
      <c r="A154" s="2" t="s">
        <v>133</v>
      </c>
      <c r="B154" s="22" t="n">
        <f aca="false">B153*$Q$124</f>
        <v>213946.027931293</v>
      </c>
    </row>
    <row r="160" customFormat="false" ht="17.35" hidden="false" customHeight="false" outlineLevel="0" collapsed="false">
      <c r="A160" s="1" t="s">
        <v>136</v>
      </c>
    </row>
    <row r="161" customFormat="false" ht="15" hidden="false" customHeight="false" outlineLevel="0" collapsed="false">
      <c r="A161" s="3" t="s">
        <v>102</v>
      </c>
      <c r="C161" s="17" t="n">
        <f aca="false">C33</f>
        <v>2026</v>
      </c>
      <c r="D161" s="17" t="n">
        <f aca="false">D33</f>
        <v>2027</v>
      </c>
      <c r="E161" s="17" t="n">
        <f aca="false">E33</f>
        <v>2028</v>
      </c>
      <c r="F161" s="17" t="n">
        <f aca="false">F33</f>
        <v>2029</v>
      </c>
      <c r="G161" s="17" t="n">
        <f aca="false">G33</f>
        <v>2030</v>
      </c>
      <c r="H161" s="17" t="n">
        <f aca="false">H33</f>
        <v>2031</v>
      </c>
      <c r="I161" s="17" t="n">
        <f aca="false">I33</f>
        <v>2032</v>
      </c>
      <c r="J161" s="17" t="n">
        <f aca="false">J33</f>
        <v>2033</v>
      </c>
      <c r="K161" s="17" t="n">
        <f aca="false">K33</f>
        <v>2034</v>
      </c>
      <c r="L161" s="17" t="n">
        <f aca="false">L33</f>
        <v>2035</v>
      </c>
      <c r="M161" s="17" t="n">
        <f aca="false">M33</f>
        <v>2036</v>
      </c>
      <c r="N161" s="17" t="n">
        <f aca="false">N33</f>
        <v>2037</v>
      </c>
      <c r="O161" s="17" t="n">
        <f aca="false">O33</f>
        <v>2038</v>
      </c>
      <c r="P161" s="17" t="n">
        <f aca="false">P33</f>
        <v>2039</v>
      </c>
      <c r="Q161" s="17" t="n">
        <f aca="false">Q33</f>
        <v>2040</v>
      </c>
    </row>
    <row r="162" customFormat="false" ht="15" hidden="false" customHeight="false" outlineLevel="0" collapsed="false">
      <c r="A162" s="2" t="s">
        <v>137</v>
      </c>
      <c r="C162" s="22" t="n">
        <f aca="false">C60</f>
        <v>250000</v>
      </c>
      <c r="D162" s="22" t="n">
        <f aca="false">D60</f>
        <v>446495</v>
      </c>
      <c r="E162" s="22" t="n">
        <f aca="false">E60</f>
        <v>389542.425</v>
      </c>
      <c r="F162" s="22" t="n">
        <f aca="false">F60</f>
        <v>398643.061375</v>
      </c>
      <c r="G162" s="22" t="n">
        <f aca="false">G60</f>
        <v>407797.707295625</v>
      </c>
      <c r="H162" s="22" t="n">
        <f aca="false">H60</f>
        <v>401007.172905059</v>
      </c>
      <c r="I162" s="22" t="n">
        <f aca="false">I60</f>
        <v>367272.280498635</v>
      </c>
      <c r="J162" s="22" t="n">
        <f aca="false">J60</f>
        <v>333593.864706115</v>
      </c>
      <c r="K162" s="22" t="n">
        <f aca="false">K60</f>
        <v>299972.772676706</v>
      </c>
      <c r="L162" s="22" t="n">
        <f aca="false">L60</f>
        <v>266409.864266857</v>
      </c>
      <c r="M162" s="22" t="n">
        <f aca="false">M60</f>
        <v>270406.01223086</v>
      </c>
      <c r="N162" s="22" t="n">
        <f aca="false">N60</f>
        <v>274462.102414323</v>
      </c>
      <c r="O162" s="22" t="n">
        <f aca="false">O60</f>
        <v>278579.033950537</v>
      </c>
      <c r="P162" s="22" t="n">
        <f aca="false">P60</f>
        <v>282757.719459795</v>
      </c>
      <c r="Q162" s="22" t="n">
        <f aca="false">Q60</f>
        <v>286999.085251692</v>
      </c>
    </row>
    <row r="163" customFormat="false" ht="15" hidden="false" customHeight="false" outlineLevel="0" collapsed="false">
      <c r="A163" s="2" t="s">
        <v>138</v>
      </c>
      <c r="C163" s="22" t="n">
        <f aca="false">C105</f>
        <v>250000</v>
      </c>
      <c r="D163" s="22" t="n">
        <f aca="false">D105</f>
        <v>472520</v>
      </c>
      <c r="E163" s="22" t="n">
        <f aca="false">E105</f>
        <v>427213.4</v>
      </c>
      <c r="F163" s="22" t="n">
        <f aca="false">F105</f>
        <v>448891.328</v>
      </c>
      <c r="G163" s="22" t="n">
        <f aca="false">G105</f>
        <v>470271.84562</v>
      </c>
      <c r="H163" s="22" t="n">
        <f aca="false">H105</f>
        <v>468729.0966292</v>
      </c>
      <c r="I163" s="22" t="n">
        <f aca="false">I105</f>
        <v>482790.969528076</v>
      </c>
      <c r="J163" s="22" t="n">
        <f aca="false">J105</f>
        <v>497274.698613918</v>
      </c>
      <c r="K163" s="22" t="n">
        <f aca="false">K105</f>
        <v>512192.939572336</v>
      </c>
      <c r="L163" s="22" t="n">
        <f aca="false">L105</f>
        <v>527558.727759506</v>
      </c>
      <c r="M163" s="22" t="n">
        <f aca="false">M105</f>
        <v>543385.489592291</v>
      </c>
      <c r="N163" s="22" t="n">
        <f aca="false">N105</f>
        <v>559687.05428006</v>
      </c>
      <c r="O163" s="22" t="n">
        <f aca="false">O105</f>
        <v>576477.665908462</v>
      </c>
      <c r="P163" s="22" t="n">
        <f aca="false">P105</f>
        <v>593771.995885716</v>
      </c>
      <c r="Q163" s="22" t="n">
        <f aca="false">Q105</f>
        <v>554376.500177584</v>
      </c>
    </row>
    <row r="164" customFormat="false" ht="15" hidden="false" customHeight="false" outlineLevel="0" collapsed="false">
      <c r="A164" s="2" t="s">
        <v>139</v>
      </c>
      <c r="C164" s="22" t="n">
        <f aca="false">C150</f>
        <v>250000</v>
      </c>
      <c r="D164" s="22" t="n">
        <f aca="false">D150</f>
        <v>500475</v>
      </c>
      <c r="E164" s="22" t="n">
        <f aca="false">E150</f>
        <v>469711.375</v>
      </c>
      <c r="F164" s="22" t="n">
        <f aca="false">F150</f>
        <v>506679.861875</v>
      </c>
      <c r="G164" s="22" t="n">
        <f aca="false">G150</f>
        <v>541910.230659375</v>
      </c>
      <c r="H164" s="22" t="n">
        <f aca="false">H150</f>
        <v>541845.786601547</v>
      </c>
      <c r="I164" s="22" t="n">
        <f aca="false">I150</f>
        <v>562867.806111116</v>
      </c>
      <c r="J164" s="22" t="n">
        <f aca="false">J150</f>
        <v>584734.985271992</v>
      </c>
      <c r="K164" s="22" t="n">
        <f aca="false">K150</f>
        <v>607482.331331682</v>
      </c>
      <c r="L164" s="22" t="n">
        <f aca="false">L150</f>
        <v>631146.336115733</v>
      </c>
      <c r="M164" s="22" t="n">
        <f aca="false">M150</f>
        <v>655765.040111289</v>
      </c>
      <c r="N164" s="22" t="n">
        <f aca="false">N150</f>
        <v>681378.099352756</v>
      </c>
      <c r="O164" s="22" t="n">
        <f aca="false">O150</f>
        <v>708026.855233183</v>
      </c>
      <c r="P164" s="22" t="n">
        <f aca="false">P150</f>
        <v>735754.407370516</v>
      </c>
      <c r="Q164" s="22" t="n">
        <f aca="false">Q150</f>
        <v>703119.751418342</v>
      </c>
    </row>
    <row r="166" customFormat="false" ht="15" hidden="false" customHeight="false" outlineLevel="0" collapsed="false">
      <c r="A166" s="2" t="s">
        <v>140</v>
      </c>
      <c r="C166" s="22" t="n">
        <f aca="false">C61</f>
        <v>250000</v>
      </c>
      <c r="D166" s="22" t="n">
        <f aca="false">D61</f>
        <v>696495</v>
      </c>
      <c r="E166" s="22" t="n">
        <f aca="false">E61</f>
        <v>1086037.425</v>
      </c>
      <c r="F166" s="22" t="n">
        <f aca="false">F61</f>
        <v>1484680.486375</v>
      </c>
      <c r="G166" s="22" t="n">
        <f aca="false">G61</f>
        <v>1892478.19367062</v>
      </c>
      <c r="H166" s="22" t="n">
        <f aca="false">H61</f>
        <v>2293485.36657568</v>
      </c>
      <c r="I166" s="22" t="n">
        <f aca="false">I61</f>
        <v>2660757.64707432</v>
      </c>
      <c r="J166" s="22" t="n">
        <f aca="false">J61</f>
        <v>2994351.51178043</v>
      </c>
      <c r="K166" s="22" t="n">
        <f aca="false">K61</f>
        <v>3294324.28445714</v>
      </c>
      <c r="L166" s="22" t="n">
        <f aca="false">L61</f>
        <v>3560734.148724</v>
      </c>
      <c r="M166" s="22" t="n">
        <f aca="false">M61</f>
        <v>3831140.16095486</v>
      </c>
      <c r="N166" s="22" t="n">
        <f aca="false">N61</f>
        <v>4105602.26336918</v>
      </c>
      <c r="O166" s="22" t="n">
        <f aca="false">O61</f>
        <v>4384181.29731972</v>
      </c>
      <c r="P166" s="22" t="n">
        <f aca="false">P61</f>
        <v>4666939.01677951</v>
      </c>
      <c r="Q166" s="22" t="n">
        <f aca="false">Q61</f>
        <v>4953938.1020312</v>
      </c>
    </row>
    <row r="167" customFormat="false" ht="15" hidden="false" customHeight="false" outlineLevel="0" collapsed="false">
      <c r="A167" s="2" t="s">
        <v>141</v>
      </c>
      <c r="C167" s="22" t="n">
        <f aca="false">C106</f>
        <v>250000</v>
      </c>
      <c r="D167" s="22" t="n">
        <f aca="false">D106</f>
        <v>722520</v>
      </c>
      <c r="E167" s="22" t="n">
        <f aca="false">E106</f>
        <v>1149733.4</v>
      </c>
      <c r="F167" s="22" t="n">
        <f aca="false">F106</f>
        <v>1598624.728</v>
      </c>
      <c r="G167" s="22" t="n">
        <f aca="false">G106</f>
        <v>2068896.57362</v>
      </c>
      <c r="H167" s="22" t="n">
        <f aca="false">H106</f>
        <v>2537625.6702492</v>
      </c>
      <c r="I167" s="22" t="n">
        <f aca="false">I106</f>
        <v>3020416.63977728</v>
      </c>
      <c r="J167" s="22" t="n">
        <f aca="false">J106</f>
        <v>3517691.33839119</v>
      </c>
      <c r="K167" s="22" t="n">
        <f aca="false">K106</f>
        <v>4029884.27796353</v>
      </c>
      <c r="L167" s="22" t="n">
        <f aca="false">L106</f>
        <v>4557443.00572304</v>
      </c>
      <c r="M167" s="22" t="n">
        <f aca="false">M106</f>
        <v>5100828.49531533</v>
      </c>
      <c r="N167" s="22" t="n">
        <f aca="false">N106</f>
        <v>5660515.54959539</v>
      </c>
      <c r="O167" s="22" t="n">
        <f aca="false">O106</f>
        <v>6236993.21550385</v>
      </c>
      <c r="P167" s="22" t="n">
        <f aca="false">P106</f>
        <v>6830765.21138957</v>
      </c>
      <c r="Q167" s="22" t="n">
        <f aca="false">Q106</f>
        <v>7385141.71156715</v>
      </c>
    </row>
    <row r="168" customFormat="false" ht="15" hidden="false" customHeight="false" outlineLevel="0" collapsed="false">
      <c r="A168" s="2" t="s">
        <v>142</v>
      </c>
      <c r="C168" s="22" t="n">
        <f aca="false">C151</f>
        <v>250000</v>
      </c>
      <c r="D168" s="22" t="n">
        <f aca="false">D151</f>
        <v>750475</v>
      </c>
      <c r="E168" s="22" t="n">
        <f aca="false">E151</f>
        <v>1220186.375</v>
      </c>
      <c r="F168" s="22" t="n">
        <f aca="false">F151</f>
        <v>1726866.236875</v>
      </c>
      <c r="G168" s="22" t="n">
        <f aca="false">G151</f>
        <v>2268776.46753438</v>
      </c>
      <c r="H168" s="22" t="n">
        <f aca="false">H151</f>
        <v>2810622.25413592</v>
      </c>
      <c r="I168" s="22" t="n">
        <f aca="false">I151</f>
        <v>3373490.06024704</v>
      </c>
      <c r="J168" s="22" t="n">
        <f aca="false">J151</f>
        <v>3958225.04551903</v>
      </c>
      <c r="K168" s="22" t="n">
        <f aca="false">K151</f>
        <v>4565707.37685071</v>
      </c>
      <c r="L168" s="22" t="n">
        <f aca="false">L151</f>
        <v>5196853.71296645</v>
      </c>
      <c r="M168" s="22" t="n">
        <f aca="false">M151</f>
        <v>5852618.75307773</v>
      </c>
      <c r="N168" s="22" t="n">
        <f aca="false">N151</f>
        <v>6533996.85243049</v>
      </c>
      <c r="O168" s="22" t="n">
        <f aca="false">O151</f>
        <v>7242023.70766367</v>
      </c>
      <c r="P168" s="22" t="n">
        <f aca="false">P151</f>
        <v>7977778.11503419</v>
      </c>
      <c r="Q168" s="22" t="n">
        <f aca="false">Q151</f>
        <v>8680897.86645253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5"/>
    <col collapsed="false" customWidth="true" hidden="false" outlineLevel="0" max="17" min="3" style="0" width="12"/>
    <col collapsed="false" customWidth="true" hidden="false" outlineLevel="0" max="18" min="18" style="0" width="2"/>
    <col collapsed="false" customWidth="true" hidden="false" outlineLevel="0" max="23" min="19" style="0" width="15"/>
  </cols>
  <sheetData>
    <row r="1" customFormat="false" ht="17.35" hidden="false" customHeight="false" outlineLevel="0" collapsed="false">
      <c r="A1" s="1" t="s">
        <v>143</v>
      </c>
    </row>
    <row r="2" customFormat="false" ht="15" hidden="false" customHeight="false" outlineLevel="0" collapsed="false">
      <c r="A2" s="6" t="s">
        <v>68</v>
      </c>
    </row>
    <row r="3" customFormat="false" ht="15" hidden="false" customHeight="false" outlineLevel="0" collapsed="false">
      <c r="A3" s="3" t="s">
        <v>69</v>
      </c>
    </row>
    <row r="4" customFormat="false" ht="15" hidden="false" customHeight="false" outlineLevel="0" collapsed="false">
      <c r="A4" s="2" t="s">
        <v>70</v>
      </c>
      <c r="B4" s="12" t="s">
        <v>144</v>
      </c>
    </row>
    <row r="5" customFormat="false" ht="15" hidden="false" customHeight="false" outlineLevel="0" collapsed="false">
      <c r="A5" s="2" t="s">
        <v>72</v>
      </c>
      <c r="B5" s="12" t="s">
        <v>145</v>
      </c>
    </row>
    <row r="6" customFormat="false" ht="15" hidden="false" customHeight="false" outlineLevel="0" collapsed="false">
      <c r="A6" s="2" t="s">
        <v>74</v>
      </c>
      <c r="B6" s="13" t="n">
        <v>2026</v>
      </c>
    </row>
    <row r="7" customFormat="false" ht="15" hidden="false" customHeight="false" outlineLevel="0" collapsed="false">
      <c r="A7" s="2" t="s">
        <v>75</v>
      </c>
      <c r="B7" s="14" t="n">
        <v>210000</v>
      </c>
    </row>
    <row r="8" customFormat="false" ht="15" hidden="false" customHeight="false" outlineLevel="0" collapsed="false">
      <c r="A8" s="2" t="s">
        <v>76</v>
      </c>
      <c r="B8" s="11" t="n">
        <v>0.03</v>
      </c>
    </row>
    <row r="9" customFormat="false" ht="15" hidden="false" customHeight="false" outlineLevel="0" collapsed="false">
      <c r="A9" s="2" t="s">
        <v>77</v>
      </c>
      <c r="B9" s="11" t="n">
        <v>0.2</v>
      </c>
    </row>
    <row r="10" customFormat="false" ht="15" hidden="false" customHeight="false" outlineLevel="0" collapsed="false">
      <c r="A10" s="2" t="s">
        <v>78</v>
      </c>
      <c r="B10" s="12" t="s">
        <v>79</v>
      </c>
    </row>
    <row r="11" customFormat="false" ht="15" hidden="false" customHeight="false" outlineLevel="0" collapsed="false">
      <c r="A11" s="2" t="s">
        <v>80</v>
      </c>
      <c r="B11" s="12" t="s">
        <v>81</v>
      </c>
    </row>
    <row r="12" customFormat="false" ht="15" hidden="false" customHeight="false" outlineLevel="0" collapsed="false">
      <c r="A12" s="2" t="s">
        <v>82</v>
      </c>
      <c r="B12" s="14" t="n">
        <v>75000</v>
      </c>
    </row>
    <row r="13" customFormat="false" ht="15" hidden="false" customHeight="false" outlineLevel="0" collapsed="false">
      <c r="A13" s="2" t="s">
        <v>83</v>
      </c>
      <c r="B13" s="11" t="n">
        <v>0.5</v>
      </c>
    </row>
    <row r="14" customFormat="false" ht="15" hidden="false" customHeight="false" outlineLevel="0" collapsed="false">
      <c r="A14" s="2" t="s">
        <v>84</v>
      </c>
      <c r="B14" s="11" t="n">
        <v>0.5</v>
      </c>
    </row>
    <row r="15" customFormat="false" ht="15" hidden="false" customHeight="false" outlineLevel="0" collapsed="false">
      <c r="A15" s="2" t="s">
        <v>85</v>
      </c>
      <c r="B15" s="11" t="n">
        <v>0</v>
      </c>
    </row>
    <row r="16" customFormat="false" ht="15" hidden="false" customHeight="false" outlineLevel="0" collapsed="false">
      <c r="A16" s="2" t="s">
        <v>86</v>
      </c>
      <c r="B16" s="15" t="n">
        <f aca="false">SUM(B13:B15)</f>
        <v>1</v>
      </c>
      <c r="C16" s="2" t="str">
        <f aca="false">IF(ROUND(B16,6)=1,"OK","ERROR - must total 100%")</f>
        <v>OK</v>
      </c>
    </row>
    <row r="17" customFormat="false" ht="15" hidden="false" customHeight="false" outlineLevel="0" collapsed="false">
      <c r="A17" s="2" t="s">
        <v>87</v>
      </c>
      <c r="B17" s="16" t="n">
        <v>400</v>
      </c>
    </row>
    <row r="18" customFormat="false" ht="15" hidden="false" customHeight="false" outlineLevel="0" collapsed="false">
      <c r="A18" s="2" t="s">
        <v>88</v>
      </c>
      <c r="B18" s="14" t="n">
        <v>350000</v>
      </c>
    </row>
    <row r="19" customFormat="false" ht="15" hidden="false" customHeight="false" outlineLevel="0" collapsed="false">
      <c r="A19" s="2" t="s">
        <v>89</v>
      </c>
      <c r="B19" s="14" t="n">
        <v>120000</v>
      </c>
    </row>
    <row r="20" customFormat="false" ht="15" hidden="false" customHeight="false" outlineLevel="0" collapsed="false">
      <c r="A20" s="2" t="s">
        <v>90</v>
      </c>
      <c r="B20" s="13" t="n">
        <v>2027</v>
      </c>
    </row>
    <row r="21" customFormat="false" ht="15" hidden="false" customHeight="false" outlineLevel="0" collapsed="false">
      <c r="A21" s="2" t="s">
        <v>91</v>
      </c>
      <c r="B21" s="11" t="n">
        <v>0.03</v>
      </c>
    </row>
    <row r="22" customFormat="false" ht="15" hidden="false" customHeight="false" outlineLevel="0" collapsed="false">
      <c r="A22" s="2" t="s">
        <v>92</v>
      </c>
      <c r="B22" s="13" t="n">
        <v>1</v>
      </c>
    </row>
    <row r="23" customFormat="false" ht="15" hidden="false" customHeight="false" outlineLevel="0" collapsed="false">
      <c r="A23" s="6" t="s">
        <v>93</v>
      </c>
    </row>
    <row r="24" customFormat="false" ht="15" hidden="false" customHeight="false" outlineLevel="0" collapsed="false">
      <c r="A24" s="3" t="s">
        <v>94</v>
      </c>
    </row>
    <row r="25" customFormat="false" ht="15" hidden="false" customHeight="false" outlineLevel="0" collapsed="false">
      <c r="A25" s="3" t="s">
        <v>95</v>
      </c>
      <c r="C25" s="17" t="n">
        <v>1</v>
      </c>
      <c r="D25" s="17" t="n">
        <v>2</v>
      </c>
      <c r="E25" s="17" t="n">
        <v>3</v>
      </c>
      <c r="F25" s="17" t="n">
        <v>4</v>
      </c>
      <c r="G25" s="17" t="n">
        <v>5</v>
      </c>
      <c r="H25" s="17" t="n">
        <v>6</v>
      </c>
      <c r="I25" s="17" t="n">
        <v>7</v>
      </c>
      <c r="J25" s="17" t="n">
        <v>8</v>
      </c>
      <c r="K25" s="7" t="s">
        <v>96</v>
      </c>
    </row>
    <row r="26" customFormat="false" ht="15" hidden="false" customHeight="false" outlineLevel="0" collapsed="false">
      <c r="A26" s="2" t="s">
        <v>97</v>
      </c>
      <c r="C26" s="8" t="n">
        <v>0.25</v>
      </c>
      <c r="D26" s="8" t="n">
        <v>0.25</v>
      </c>
      <c r="E26" s="8" t="n">
        <v>0.25</v>
      </c>
      <c r="F26" s="8" t="n">
        <v>0.25</v>
      </c>
      <c r="G26" s="8" t="n">
        <v>0</v>
      </c>
      <c r="H26" s="8" t="n">
        <v>0</v>
      </c>
      <c r="I26" s="8" t="n">
        <v>0</v>
      </c>
      <c r="J26" s="8" t="n">
        <v>0</v>
      </c>
      <c r="K26" s="15" t="n">
        <f aca="false">SUM(C26:J26)</f>
        <v>1</v>
      </c>
      <c r="L26" s="2" t="str">
        <f aca="false">IF(ROUND(K26,6)=1,"OK","ERROR - must total 100%")</f>
        <v>OK</v>
      </c>
    </row>
    <row r="27" customFormat="false" ht="15" hidden="false" customHeight="false" outlineLevel="0" collapsed="false">
      <c r="A27" s="2" t="s">
        <v>98</v>
      </c>
      <c r="C27" s="8" t="n">
        <v>0.25</v>
      </c>
      <c r="D27" s="8" t="n">
        <v>0.25</v>
      </c>
      <c r="E27" s="8" t="n">
        <v>0.25</v>
      </c>
      <c r="F27" s="8" t="n">
        <v>0.25</v>
      </c>
      <c r="G27" s="8" t="n">
        <v>0</v>
      </c>
      <c r="H27" s="8" t="n">
        <v>0</v>
      </c>
      <c r="I27" s="8" t="n">
        <v>0</v>
      </c>
      <c r="J27" s="8" t="n">
        <v>0</v>
      </c>
      <c r="K27" s="15" t="n">
        <f aca="false">SUM(C27:J27)</f>
        <v>1</v>
      </c>
      <c r="L27" s="2" t="str">
        <f aca="false">IF(ROUND(K27,6)=1,"OK","ERROR - must total 100%")</f>
        <v>OK</v>
      </c>
    </row>
    <row r="28" customFormat="false" ht="15" hidden="false" customHeight="false" outlineLevel="0" collapsed="false">
      <c r="A28" s="6" t="s">
        <v>99</v>
      </c>
    </row>
    <row r="31" customFormat="false" ht="15" hidden="false" customHeight="false" outlineLevel="0" collapsed="false">
      <c r="A31" s="18" t="s">
        <v>100</v>
      </c>
      <c r="B31" s="19" t="str">
        <f aca="false">Scenarios!C$3</f>
        <v>Conservative</v>
      </c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</row>
    <row r="32" customFormat="false" ht="15" hidden="false" customHeight="false" outlineLevel="0" collapsed="false">
      <c r="A32" s="3" t="s">
        <v>101</v>
      </c>
      <c r="C32" s="17" t="n">
        <v>1</v>
      </c>
      <c r="D32" s="17" t="n">
        <v>2</v>
      </c>
      <c r="E32" s="17" t="n">
        <v>3</v>
      </c>
      <c r="F32" s="17" t="n">
        <v>4</v>
      </c>
      <c r="G32" s="17" t="n">
        <v>5</v>
      </c>
      <c r="H32" s="17" t="n">
        <v>6</v>
      </c>
      <c r="I32" s="17" t="n">
        <v>7</v>
      </c>
      <c r="J32" s="17" t="n">
        <v>8</v>
      </c>
      <c r="K32" s="17" t="n">
        <v>9</v>
      </c>
      <c r="L32" s="17" t="n">
        <v>10</v>
      </c>
      <c r="M32" s="17" t="n">
        <v>11</v>
      </c>
      <c r="N32" s="17" t="n">
        <v>12</v>
      </c>
      <c r="O32" s="17" t="n">
        <v>13</v>
      </c>
      <c r="P32" s="17" t="n">
        <v>14</v>
      </c>
      <c r="Q32" s="17" t="n">
        <v>15</v>
      </c>
    </row>
    <row r="33" customFormat="false" ht="15" hidden="false" customHeight="false" outlineLevel="0" collapsed="false">
      <c r="A33" s="3" t="s">
        <v>102</v>
      </c>
      <c r="C33" s="17" t="n">
        <f aca="false">$B$6</f>
        <v>2026</v>
      </c>
      <c r="D33" s="17" t="n">
        <f aca="false">C33+1</f>
        <v>2027</v>
      </c>
      <c r="E33" s="17" t="n">
        <f aca="false">D33+1</f>
        <v>2028</v>
      </c>
      <c r="F33" s="17" t="n">
        <f aca="false">E33+1</f>
        <v>2029</v>
      </c>
      <c r="G33" s="17" t="n">
        <f aca="false">F33+1</f>
        <v>2030</v>
      </c>
      <c r="H33" s="17" t="n">
        <f aca="false">G33+1</f>
        <v>2031</v>
      </c>
      <c r="I33" s="17" t="n">
        <f aca="false">H33+1</f>
        <v>2032</v>
      </c>
      <c r="J33" s="17" t="n">
        <f aca="false">I33+1</f>
        <v>2033</v>
      </c>
      <c r="K33" s="17" t="n">
        <f aca="false">J33+1</f>
        <v>2034</v>
      </c>
      <c r="L33" s="17" t="n">
        <f aca="false">K33+1</f>
        <v>2035</v>
      </c>
      <c r="M33" s="17" t="n">
        <f aca="false">L33+1</f>
        <v>2036</v>
      </c>
      <c r="N33" s="17" t="n">
        <f aca="false">M33+1</f>
        <v>2037</v>
      </c>
      <c r="O33" s="17" t="n">
        <f aca="false">N33+1</f>
        <v>2038</v>
      </c>
      <c r="P33" s="17" t="n">
        <f aca="false">O33+1</f>
        <v>2039</v>
      </c>
      <c r="Q33" s="17" t="n">
        <f aca="false">P33+1</f>
        <v>2040</v>
      </c>
    </row>
    <row r="34" customFormat="false" ht="15" hidden="false" customHeight="false" outlineLevel="0" collapsed="false">
      <c r="A34" s="2" t="s">
        <v>103</v>
      </c>
      <c r="C34" s="21" t="n">
        <f aca="false">$B$17</f>
        <v>400</v>
      </c>
      <c r="D34" s="21" t="n">
        <f aca="false">C34*(1+Scenarios!$C$4)</f>
        <v>400</v>
      </c>
      <c r="E34" s="21" t="n">
        <f aca="false">D34*(1+Scenarios!$C$4)</f>
        <v>400</v>
      </c>
      <c r="F34" s="21" t="n">
        <f aca="false">E34*(1+Scenarios!$C$4)</f>
        <v>400</v>
      </c>
      <c r="G34" s="21" t="n">
        <f aca="false">F34*(1+Scenarios!$C$4)</f>
        <v>400</v>
      </c>
      <c r="H34" s="21" t="n">
        <f aca="false">G34*(1+Scenarios!$C$4)</f>
        <v>400</v>
      </c>
      <c r="I34" s="21" t="n">
        <f aca="false">H34*(1+Scenarios!$C$4)</f>
        <v>400</v>
      </c>
      <c r="J34" s="21" t="n">
        <f aca="false">I34*(1+Scenarios!$C$4)</f>
        <v>400</v>
      </c>
      <c r="K34" s="21" t="n">
        <f aca="false">J34*(1+Scenarios!$C$4)</f>
        <v>400</v>
      </c>
      <c r="L34" s="21" t="n">
        <f aca="false">K34*(1+Scenarios!$C$4)</f>
        <v>400</v>
      </c>
      <c r="M34" s="21" t="n">
        <f aca="false">L34*(1+Scenarios!$C$4)</f>
        <v>400</v>
      </c>
      <c r="N34" s="21" t="n">
        <f aca="false">M34*(1+Scenarios!$C$4)</f>
        <v>400</v>
      </c>
      <c r="O34" s="21" t="n">
        <f aca="false">N34*(1+Scenarios!$C$4)</f>
        <v>400</v>
      </c>
      <c r="P34" s="21" t="n">
        <f aca="false">O34*(1+Scenarios!$C$4)</f>
        <v>400</v>
      </c>
      <c r="Q34" s="21" t="n">
        <f aca="false">P34*(1+Scenarios!$C$4)</f>
        <v>400</v>
      </c>
    </row>
    <row r="35" customFormat="false" ht="15" hidden="false" customHeight="false" outlineLevel="0" collapsed="false">
      <c r="A35" s="2" t="s">
        <v>104</v>
      </c>
      <c r="C35" s="22" t="n">
        <f aca="false">$B$7</f>
        <v>210000</v>
      </c>
      <c r="D35" s="22" t="n">
        <f aca="false">C35*(1+$B$8*Scenarios!$C$5)</f>
        <v>213150</v>
      </c>
      <c r="E35" s="22" t="n">
        <f aca="false">D35*(1+$B$8*Scenarios!$C$5)</f>
        <v>216347.25</v>
      </c>
      <c r="F35" s="22" t="n">
        <f aca="false">E35*(1+$B$8*Scenarios!$C$5)</f>
        <v>219592.45875</v>
      </c>
      <c r="G35" s="22" t="n">
        <f aca="false">F35*(1+$B$8*Scenarios!$C$5)</f>
        <v>222886.34563125</v>
      </c>
      <c r="H35" s="22" t="n">
        <f aca="false">G35*(1+$B$8*Scenarios!$C$5)</f>
        <v>226229.640815719</v>
      </c>
      <c r="I35" s="22" t="n">
        <f aca="false">H35*(1+$B$8*Scenarios!$C$5)</f>
        <v>229623.085427954</v>
      </c>
      <c r="J35" s="22" t="n">
        <f aca="false">I35*(1+$B$8*Scenarios!$C$5)</f>
        <v>233067.431709374</v>
      </c>
      <c r="K35" s="22" t="n">
        <f aca="false">J35*(1+$B$8*Scenarios!$C$5)</f>
        <v>236563.443185014</v>
      </c>
      <c r="L35" s="22" t="n">
        <f aca="false">K35*(1+$B$8*Scenarios!$C$5)</f>
        <v>240111.89483279</v>
      </c>
      <c r="M35" s="22" t="n">
        <f aca="false">L35*(1+$B$8*Scenarios!$C$5)</f>
        <v>243713.573255281</v>
      </c>
      <c r="N35" s="22" t="n">
        <f aca="false">M35*(1+$B$8*Scenarios!$C$5)</f>
        <v>247369.276854111</v>
      </c>
      <c r="O35" s="22" t="n">
        <f aca="false">N35*(1+$B$8*Scenarios!$C$5)</f>
        <v>251079.816006922</v>
      </c>
      <c r="P35" s="22" t="n">
        <f aca="false">O35*(1+$B$8*Scenarios!$C$5)</f>
        <v>254846.013247026</v>
      </c>
      <c r="Q35" s="22" t="n">
        <f aca="false">P35*(1+$B$8*Scenarios!$C$5)</f>
        <v>258668.703445731</v>
      </c>
    </row>
    <row r="36" customFormat="false" ht="15" hidden="false" customHeight="false" outlineLevel="0" collapsed="false">
      <c r="A36" s="2" t="s">
        <v>105</v>
      </c>
      <c r="C36" s="22" t="n">
        <f aca="false">IF($B$10="Prior",0,C35)</f>
        <v>210000</v>
      </c>
      <c r="D36" s="22" t="n">
        <f aca="false">IF($B$10="Prior",C35,D35)</f>
        <v>213150</v>
      </c>
      <c r="E36" s="22" t="n">
        <f aca="false">IF($B$10="Prior",D35,E35)</f>
        <v>216347.25</v>
      </c>
      <c r="F36" s="22" t="n">
        <f aca="false">IF($B$10="Prior",E35,F35)</f>
        <v>219592.45875</v>
      </c>
      <c r="G36" s="22" t="n">
        <f aca="false">IF($B$10="Prior",F35,G35)</f>
        <v>222886.34563125</v>
      </c>
      <c r="H36" s="22" t="n">
        <f aca="false">IF($B$10="Prior",G35,H35)</f>
        <v>226229.640815719</v>
      </c>
      <c r="I36" s="22" t="n">
        <f aca="false">IF($B$10="Prior",H35,I35)</f>
        <v>229623.085427954</v>
      </c>
      <c r="J36" s="22" t="n">
        <f aca="false">IF($B$10="Prior",I35,J35)</f>
        <v>233067.431709374</v>
      </c>
      <c r="K36" s="22" t="n">
        <f aca="false">IF($B$10="Prior",J35,K35)</f>
        <v>236563.443185014</v>
      </c>
      <c r="L36" s="22" t="n">
        <f aca="false">IF($B$10="Prior",K35,L35)</f>
        <v>240111.89483279</v>
      </c>
      <c r="M36" s="22" t="n">
        <f aca="false">IF($B$10="Prior",L35,M35)</f>
        <v>243713.573255281</v>
      </c>
      <c r="N36" s="22" t="n">
        <f aca="false">IF($B$10="Prior",M35,N35)</f>
        <v>247369.276854111</v>
      </c>
      <c r="O36" s="22" t="n">
        <f aca="false">IF($B$10="Prior",N35,O35)</f>
        <v>251079.816006922</v>
      </c>
      <c r="P36" s="22" t="n">
        <f aca="false">IF($B$10="Prior",O35,P35)</f>
        <v>254846.013247026</v>
      </c>
      <c r="Q36" s="22" t="n">
        <f aca="false">IF($B$10="Prior",P35,Q35)</f>
        <v>258668.703445731</v>
      </c>
    </row>
    <row r="37" customFormat="false" ht="15" hidden="false" customHeight="false" outlineLevel="0" collapsed="false">
      <c r="A37" s="2" t="s">
        <v>106</v>
      </c>
      <c r="C37" s="22" t="n">
        <f aca="false">IF($B$11="No",0,C36*$B$9*Scenarios!$C$6)</f>
        <v>0</v>
      </c>
      <c r="D37" s="22" t="n">
        <f aca="false">D36*$B$9*Scenarios!$C$6</f>
        <v>31972.5</v>
      </c>
      <c r="E37" s="22" t="n">
        <f aca="false">E36*$B$9*Scenarios!$C$6</f>
        <v>32452.0875</v>
      </c>
      <c r="F37" s="22" t="n">
        <f aca="false">F36*$B$9*Scenarios!$C$6</f>
        <v>32938.8688125</v>
      </c>
      <c r="G37" s="22" t="n">
        <f aca="false">G36*$B$9*Scenarios!$C$6</f>
        <v>33432.9518446875</v>
      </c>
      <c r="H37" s="22" t="n">
        <f aca="false">H36*$B$9*Scenarios!$C$6</f>
        <v>33934.4461223578</v>
      </c>
      <c r="I37" s="22" t="n">
        <f aca="false">I36*$B$9*Scenarios!$C$6</f>
        <v>34443.4628141932</v>
      </c>
      <c r="J37" s="22" t="n">
        <f aca="false">J36*$B$9*Scenarios!$C$6</f>
        <v>34960.1147564061</v>
      </c>
      <c r="K37" s="22" t="n">
        <f aca="false">K36*$B$9*Scenarios!$C$6</f>
        <v>35484.5164777522</v>
      </c>
      <c r="L37" s="22" t="n">
        <f aca="false">L36*$B$9*Scenarios!$C$6</f>
        <v>36016.7842249184</v>
      </c>
      <c r="M37" s="22" t="n">
        <f aca="false">M36*$B$9*Scenarios!$C$6</f>
        <v>36557.0359882922</v>
      </c>
      <c r="N37" s="22" t="n">
        <f aca="false">N36*$B$9*Scenarios!$C$6</f>
        <v>37105.3915281166</v>
      </c>
      <c r="O37" s="22" t="n">
        <f aca="false">O36*$B$9*Scenarios!$C$6</f>
        <v>37661.9724010383</v>
      </c>
      <c r="P37" s="22" t="n">
        <f aca="false">P36*$B$9*Scenarios!$C$6</f>
        <v>38226.9019870539</v>
      </c>
      <c r="Q37" s="22" t="n">
        <f aca="false">Q36*$B$9*Scenarios!$C$6</f>
        <v>38800.3055168597</v>
      </c>
    </row>
    <row r="38" customFormat="false" ht="15" hidden="false" customHeight="false" outlineLevel="0" collapsed="false">
      <c r="A38" s="2" t="s">
        <v>107</v>
      </c>
      <c r="C38" s="22" t="n">
        <f aca="false">$B$12*$B$13</f>
        <v>37500</v>
      </c>
      <c r="D38" s="22" t="n">
        <f aca="false">$B$12*$B$14</f>
        <v>37500</v>
      </c>
      <c r="E38" s="22" t="n">
        <f aca="false">$B$12*$B$15</f>
        <v>0</v>
      </c>
      <c r="F38" s="22" t="n">
        <v>0</v>
      </c>
      <c r="G38" s="22" t="n">
        <v>0</v>
      </c>
      <c r="H38" s="22" t="n">
        <v>0</v>
      </c>
      <c r="I38" s="22" t="n">
        <v>0</v>
      </c>
      <c r="J38" s="22" t="n">
        <v>0</v>
      </c>
      <c r="K38" s="22" t="n">
        <v>0</v>
      </c>
      <c r="L38" s="22" t="n">
        <v>0</v>
      </c>
      <c r="M38" s="22" t="n">
        <v>0</v>
      </c>
      <c r="N38" s="22" t="n">
        <v>0</v>
      </c>
      <c r="O38" s="22" t="n">
        <v>0</v>
      </c>
      <c r="P38" s="22" t="n">
        <v>0</v>
      </c>
      <c r="Q38" s="22" t="n">
        <v>0</v>
      </c>
    </row>
    <row r="40" customFormat="false" ht="15" hidden="false" customHeight="false" outlineLevel="0" collapsed="false">
      <c r="A40" s="3" t="s">
        <v>108</v>
      </c>
      <c r="S40" s="7" t="s">
        <v>109</v>
      </c>
      <c r="T40" s="7" t="s">
        <v>110</v>
      </c>
      <c r="U40" s="7" t="s">
        <v>111</v>
      </c>
      <c r="V40" s="7" t="s">
        <v>112</v>
      </c>
      <c r="W40" s="7" t="s">
        <v>113</v>
      </c>
    </row>
    <row r="41" customFormat="false" ht="15" hidden="false" customHeight="false" outlineLevel="0" collapsed="false">
      <c r="A41" s="2" t="s">
        <v>97</v>
      </c>
      <c r="C41" s="22" t="n">
        <f aca="false">IF(AND(C$33-$S41+1-$B$22&gt;=1,C$33-$S41+1-$B$22&lt;=8),INDEX($C$26:$J$26,1,C$33-$S41+1-$B$22),0)*$U41*C$34</f>
        <v>0</v>
      </c>
      <c r="D41" s="22" t="n">
        <f aca="false">IF(AND(D$33-$S41+1-$B$22&gt;=1,D$33-$S41+1-$B$22&lt;=8),INDEX($C$26:$J$26,1,D$33-$S41+1-$B$22),0)*$U41*D$34</f>
        <v>87500</v>
      </c>
      <c r="E41" s="22" t="n">
        <f aca="false">IF(AND(E$33-$S41+1-$B$22&gt;=1,E$33-$S41+1-$B$22&lt;=8),INDEX($C$26:$J$26,1,E$33-$S41+1-$B$22),0)*$U41*E$34</f>
        <v>87500</v>
      </c>
      <c r="F41" s="22" t="n">
        <f aca="false">IF(AND(F$33-$S41+1-$B$22&gt;=1,F$33-$S41+1-$B$22&lt;=8),INDEX($C$26:$J$26,1,F$33-$S41+1-$B$22),0)*$U41*F$34</f>
        <v>87500</v>
      </c>
      <c r="G41" s="22" t="n">
        <f aca="false">IF(AND(G$33-$S41+1-$B$22&gt;=1,G$33-$S41+1-$B$22&lt;=8),INDEX($C$26:$J$26,1,G$33-$S41+1-$B$22),0)*$U41*G$34</f>
        <v>87500</v>
      </c>
      <c r="H41" s="22" t="n">
        <f aca="false">IF(AND(H$33-$S41+1-$B$22&gt;=1,H$33-$S41+1-$B$22&lt;=8),INDEX($C$26:$J$26,1,H$33-$S41+1-$B$22),0)*$U41*H$34</f>
        <v>0</v>
      </c>
      <c r="I41" s="22" t="n">
        <f aca="false">IF(AND(I$33-$S41+1-$B$22&gt;=1,I$33-$S41+1-$B$22&lt;=8),INDEX($C$26:$J$26,1,I$33-$S41+1-$B$22),0)*$U41*I$34</f>
        <v>0</v>
      </c>
      <c r="J41" s="22" t="n">
        <f aca="false">IF(AND(J$33-$S41+1-$B$22&gt;=1,J$33-$S41+1-$B$22&lt;=8),INDEX($C$26:$J$26,1,J$33-$S41+1-$B$22),0)*$U41*J$34</f>
        <v>0</v>
      </c>
      <c r="K41" s="22" t="n">
        <f aca="false">IF(AND(K$33-$S41+1-$B$22&gt;=1,K$33-$S41+1-$B$22&lt;=8),INDEX($C$26:$J$26,1,K$33-$S41+1-$B$22),0)*$U41*K$34</f>
        <v>0</v>
      </c>
      <c r="L41" s="22" t="n">
        <f aca="false">IF(AND(L$33-$S41+1-$B$22&gt;=1,L$33-$S41+1-$B$22&lt;=8),INDEX($C$26:$J$26,1,L$33-$S41+1-$B$22),0)*$U41*L$34</f>
        <v>0</v>
      </c>
      <c r="M41" s="22" t="n">
        <f aca="false">IF(AND(M$33-$S41+1-$B$22&gt;=1,M$33-$S41+1-$B$22&lt;=8),INDEX($C$26:$J$26,1,M$33-$S41+1-$B$22),0)*$U41*M$34</f>
        <v>0</v>
      </c>
      <c r="N41" s="22" t="n">
        <f aca="false">IF(AND(N$33-$S41+1-$B$22&gt;=1,N$33-$S41+1-$B$22&lt;=8),INDEX($C$26:$J$26,1,N$33-$S41+1-$B$22),0)*$U41*N$34</f>
        <v>0</v>
      </c>
      <c r="O41" s="22" t="n">
        <f aca="false">IF(AND(O$33-$S41+1-$B$22&gt;=1,O$33-$S41+1-$B$22&lt;=8),INDEX($C$26:$J$26,1,O$33-$S41+1-$B$22),0)*$U41*O$34</f>
        <v>0</v>
      </c>
      <c r="P41" s="22" t="n">
        <f aca="false">IF(AND(P$33-$S41+1-$B$22&gt;=1,P$33-$S41+1-$B$22&lt;=8),INDEX($C$26:$J$26,1,P$33-$S41+1-$B$22),0)*$U41*P$34</f>
        <v>0</v>
      </c>
      <c r="Q41" s="22" t="n">
        <f aca="false">IF(AND(Q$33-$S41+1-$B$22&gt;=1,Q$33-$S41+1-$B$22&lt;=8),INDEX($C$26:$J$26,1,Q$33-$S41+1-$B$22),0)*$U41*Q$34</f>
        <v>0</v>
      </c>
      <c r="S41" s="23" t="n">
        <f aca="false">$B$6</f>
        <v>2026</v>
      </c>
      <c r="T41" s="22" t="n">
        <f aca="false">$B$18</f>
        <v>350000</v>
      </c>
      <c r="U41" s="24" t="n">
        <f aca="false">IFERROR(T41/$B$17,0)</f>
        <v>875</v>
      </c>
      <c r="V41" s="24" t="n">
        <f aca="false">SUMPRODUCT(($C$25:$J$25&lt;=$Q$33-$S41+1-$B$22)*$C$26:$J$26)*$U41</f>
        <v>875</v>
      </c>
      <c r="W41" s="24" t="n">
        <f aca="false">$U41-$V41</f>
        <v>0</v>
      </c>
    </row>
    <row r="42" customFormat="false" ht="15" hidden="false" customHeight="false" outlineLevel="0" collapsed="false">
      <c r="A42" s="2" t="s">
        <v>114</v>
      </c>
      <c r="C42" s="22" t="n">
        <f aca="false">IF(AND(C$33-$S42+1-$B$22&gt;=1,C$33-$S42+1-$B$22&lt;=8),INDEX($C$27:$J$27,1,C$33-$S42+1-$B$22),0)*$U42*C$34</f>
        <v>0</v>
      </c>
      <c r="D42" s="22" t="n">
        <f aca="false">IF(AND(D$33-$S42+1-$B$22&gt;=1,D$33-$S42+1-$B$22&lt;=8),INDEX($C$27:$J$27,1,D$33-$S42+1-$B$22),0)*$U42*D$34</f>
        <v>0</v>
      </c>
      <c r="E42" s="22" t="n">
        <f aca="false">IF(AND(E$33-$S42+1-$B$22&gt;=1,E$33-$S42+1-$B$22&lt;=8),INDEX($C$27:$J$27,1,E$33-$S42+1-$B$22),0)*$U42*E$34</f>
        <v>30000</v>
      </c>
      <c r="F42" s="22" t="n">
        <f aca="false">IF(AND(F$33-$S42+1-$B$22&gt;=1,F$33-$S42+1-$B$22&lt;=8),INDEX($C$27:$J$27,1,F$33-$S42+1-$B$22),0)*$U42*F$34</f>
        <v>30000</v>
      </c>
      <c r="G42" s="22" t="n">
        <f aca="false">IF(AND(G$33-$S42+1-$B$22&gt;=1,G$33-$S42+1-$B$22&lt;=8),INDEX($C$27:$J$27,1,G$33-$S42+1-$B$22),0)*$U42*G$34</f>
        <v>30000</v>
      </c>
      <c r="H42" s="22" t="n">
        <f aca="false">IF(AND(H$33-$S42+1-$B$22&gt;=1,H$33-$S42+1-$B$22&lt;=8),INDEX($C$27:$J$27,1,H$33-$S42+1-$B$22),0)*$U42*H$34</f>
        <v>30000</v>
      </c>
      <c r="I42" s="22" t="n">
        <f aca="false">IF(AND(I$33-$S42+1-$B$22&gt;=1,I$33-$S42+1-$B$22&lt;=8),INDEX($C$27:$J$27,1,I$33-$S42+1-$B$22),0)*$U42*I$34</f>
        <v>0</v>
      </c>
      <c r="J42" s="22" t="n">
        <f aca="false">IF(AND(J$33-$S42+1-$B$22&gt;=1,J$33-$S42+1-$B$22&lt;=8),INDEX($C$27:$J$27,1,J$33-$S42+1-$B$22),0)*$U42*J$34</f>
        <v>0</v>
      </c>
      <c r="K42" s="22" t="n">
        <f aca="false">IF(AND(K$33-$S42+1-$B$22&gt;=1,K$33-$S42+1-$B$22&lt;=8),INDEX($C$27:$J$27,1,K$33-$S42+1-$B$22),0)*$U42*K$34</f>
        <v>0</v>
      </c>
      <c r="L42" s="22" t="n">
        <f aca="false">IF(AND(L$33-$S42+1-$B$22&gt;=1,L$33-$S42+1-$B$22&lt;=8),INDEX($C$27:$J$27,1,L$33-$S42+1-$B$22),0)*$U42*L$34</f>
        <v>0</v>
      </c>
      <c r="M42" s="22" t="n">
        <f aca="false">IF(AND(M$33-$S42+1-$B$22&gt;=1,M$33-$S42+1-$B$22&lt;=8),INDEX($C$27:$J$27,1,M$33-$S42+1-$B$22),0)*$U42*M$34</f>
        <v>0</v>
      </c>
      <c r="N42" s="22" t="n">
        <f aca="false">IF(AND(N$33-$S42+1-$B$22&gt;=1,N$33-$S42+1-$B$22&lt;=8),INDEX($C$27:$J$27,1,N$33-$S42+1-$B$22),0)*$U42*N$34</f>
        <v>0</v>
      </c>
      <c r="O42" s="22" t="n">
        <f aca="false">IF(AND(O$33-$S42+1-$B$22&gt;=1,O$33-$S42+1-$B$22&lt;=8),INDEX($C$27:$J$27,1,O$33-$S42+1-$B$22),0)*$U42*O$34</f>
        <v>0</v>
      </c>
      <c r="P42" s="22" t="n">
        <f aca="false">IF(AND(P$33-$S42+1-$B$22&gt;=1,P$33-$S42+1-$B$22&lt;=8),INDEX($C$27:$J$27,1,P$33-$S42+1-$B$22),0)*$U42*P$34</f>
        <v>0</v>
      </c>
      <c r="Q42" s="22" t="n">
        <f aca="false">IF(AND(Q$33-$S42+1-$B$22&gt;=1,Q$33-$S42+1-$B$22&lt;=8),INDEX($C$27:$J$27,1,Q$33-$S42+1-$B$22),0)*$U42*Q$34</f>
        <v>0</v>
      </c>
      <c r="S42" s="23" t="n">
        <f aca="false">$B$20+0</f>
        <v>2027</v>
      </c>
      <c r="T42" s="22" t="n">
        <f aca="false">IF($S42&gt;$B$20+Scenarios!$C$8-1,0,$B$19*(1+$B$21*Scenarios!$C$7)^0)</f>
        <v>120000</v>
      </c>
      <c r="U42" s="24" t="n">
        <f aca="false">IFERROR($T42/INDEX($C$34:$Q$34,1,MATCH($S42,$C$33:$Q$33,0)),0)</f>
        <v>300</v>
      </c>
      <c r="V42" s="24" t="n">
        <f aca="false">SUMPRODUCT(($C$25:$J$25&lt;=$Q$33-$S42+1-$B$22)*$C$27:$J$27)*$U42</f>
        <v>300</v>
      </c>
      <c r="W42" s="24" t="n">
        <f aca="false">$U42-$V42</f>
        <v>0</v>
      </c>
    </row>
    <row r="43" customFormat="false" ht="15" hidden="false" customHeight="false" outlineLevel="0" collapsed="false">
      <c r="A43" s="2" t="s">
        <v>115</v>
      </c>
      <c r="C43" s="22" t="n">
        <f aca="false">IF(AND(C$33-$S43+1-$B$22&gt;=1,C$33-$S43+1-$B$22&lt;=8),INDEX($C$27:$J$27,1,C$33-$S43+1-$B$22),0)*$U43*C$34</f>
        <v>0</v>
      </c>
      <c r="D43" s="22" t="n">
        <f aca="false">IF(AND(D$33-$S43+1-$B$22&gt;=1,D$33-$S43+1-$B$22&lt;=8),INDEX($C$27:$J$27,1,D$33-$S43+1-$B$22),0)*$U43*D$34</f>
        <v>0</v>
      </c>
      <c r="E43" s="22" t="n">
        <f aca="false">IF(AND(E$33-$S43+1-$B$22&gt;=1,E$33-$S43+1-$B$22&lt;=8),INDEX($C$27:$J$27,1,E$33-$S43+1-$B$22),0)*$U43*E$34</f>
        <v>0</v>
      </c>
      <c r="F43" s="22" t="n">
        <f aca="false">IF(AND(F$33-$S43+1-$B$22&gt;=1,F$33-$S43+1-$B$22&lt;=8),INDEX($C$27:$J$27,1,F$33-$S43+1-$B$22),0)*$U43*F$34</f>
        <v>30000</v>
      </c>
      <c r="G43" s="22" t="n">
        <f aca="false">IF(AND(G$33-$S43+1-$B$22&gt;=1,G$33-$S43+1-$B$22&lt;=8),INDEX($C$27:$J$27,1,G$33-$S43+1-$B$22),0)*$U43*G$34</f>
        <v>30000</v>
      </c>
      <c r="H43" s="22" t="n">
        <f aca="false">IF(AND(H$33-$S43+1-$B$22&gt;=1,H$33-$S43+1-$B$22&lt;=8),INDEX($C$27:$J$27,1,H$33-$S43+1-$B$22),0)*$U43*H$34</f>
        <v>30000</v>
      </c>
      <c r="I43" s="22" t="n">
        <f aca="false">IF(AND(I$33-$S43+1-$B$22&gt;=1,I$33-$S43+1-$B$22&lt;=8),INDEX($C$27:$J$27,1,I$33-$S43+1-$B$22),0)*$U43*I$34</f>
        <v>30000</v>
      </c>
      <c r="J43" s="22" t="n">
        <f aca="false">IF(AND(J$33-$S43+1-$B$22&gt;=1,J$33-$S43+1-$B$22&lt;=8),INDEX($C$27:$J$27,1,J$33-$S43+1-$B$22),0)*$U43*J$34</f>
        <v>0</v>
      </c>
      <c r="K43" s="22" t="n">
        <f aca="false">IF(AND(K$33-$S43+1-$B$22&gt;=1,K$33-$S43+1-$B$22&lt;=8),INDEX($C$27:$J$27,1,K$33-$S43+1-$B$22),0)*$U43*K$34</f>
        <v>0</v>
      </c>
      <c r="L43" s="22" t="n">
        <f aca="false">IF(AND(L$33-$S43+1-$B$22&gt;=1,L$33-$S43+1-$B$22&lt;=8),INDEX($C$27:$J$27,1,L$33-$S43+1-$B$22),0)*$U43*L$34</f>
        <v>0</v>
      </c>
      <c r="M43" s="22" t="n">
        <f aca="false">IF(AND(M$33-$S43+1-$B$22&gt;=1,M$33-$S43+1-$B$22&lt;=8),INDEX($C$27:$J$27,1,M$33-$S43+1-$B$22),0)*$U43*M$34</f>
        <v>0</v>
      </c>
      <c r="N43" s="22" t="n">
        <f aca="false">IF(AND(N$33-$S43+1-$B$22&gt;=1,N$33-$S43+1-$B$22&lt;=8),INDEX($C$27:$J$27,1,N$33-$S43+1-$B$22),0)*$U43*N$34</f>
        <v>0</v>
      </c>
      <c r="O43" s="22" t="n">
        <f aca="false">IF(AND(O$33-$S43+1-$B$22&gt;=1,O$33-$S43+1-$B$22&lt;=8),INDEX($C$27:$J$27,1,O$33-$S43+1-$B$22),0)*$U43*O$34</f>
        <v>0</v>
      </c>
      <c r="P43" s="22" t="n">
        <f aca="false">IF(AND(P$33-$S43+1-$B$22&gt;=1,P$33-$S43+1-$B$22&lt;=8),INDEX($C$27:$J$27,1,P$33-$S43+1-$B$22),0)*$U43*P$34</f>
        <v>0</v>
      </c>
      <c r="Q43" s="22" t="n">
        <f aca="false">IF(AND(Q$33-$S43+1-$B$22&gt;=1,Q$33-$S43+1-$B$22&lt;=8),INDEX($C$27:$J$27,1,Q$33-$S43+1-$B$22),0)*$U43*Q$34</f>
        <v>0</v>
      </c>
      <c r="S43" s="23" t="n">
        <f aca="false">$B$20+1</f>
        <v>2028</v>
      </c>
      <c r="T43" s="22" t="n">
        <f aca="false">IF($S43&gt;$B$20+Scenarios!$C$8-1,0,$B$19*(1+$B$21*Scenarios!$C$7)^1)</f>
        <v>120000</v>
      </c>
      <c r="U43" s="24" t="n">
        <f aca="false">IFERROR($T43/INDEX($C$34:$Q$34,1,MATCH($S43,$C$33:$Q$33,0)),0)</f>
        <v>300</v>
      </c>
      <c r="V43" s="24" t="n">
        <f aca="false">SUMPRODUCT(($C$25:$J$25&lt;=$Q$33-$S43+1-$B$22)*$C$27:$J$27)*$U43</f>
        <v>300</v>
      </c>
      <c r="W43" s="24" t="n">
        <f aca="false">$U43-$V43</f>
        <v>0</v>
      </c>
    </row>
    <row r="44" customFormat="false" ht="15" hidden="false" customHeight="false" outlineLevel="0" collapsed="false">
      <c r="A44" s="2" t="s">
        <v>116</v>
      </c>
      <c r="C44" s="22" t="n">
        <f aca="false">IF(AND(C$33-$S44+1-$B$22&gt;=1,C$33-$S44+1-$B$22&lt;=8),INDEX($C$27:$J$27,1,C$33-$S44+1-$B$22),0)*$U44*C$34</f>
        <v>0</v>
      </c>
      <c r="D44" s="22" t="n">
        <f aca="false">IF(AND(D$33-$S44+1-$B$22&gt;=1,D$33-$S44+1-$B$22&lt;=8),INDEX($C$27:$J$27,1,D$33-$S44+1-$B$22),0)*$U44*D$34</f>
        <v>0</v>
      </c>
      <c r="E44" s="22" t="n">
        <f aca="false">IF(AND(E$33-$S44+1-$B$22&gt;=1,E$33-$S44+1-$B$22&lt;=8),INDEX($C$27:$J$27,1,E$33-$S44+1-$B$22),0)*$U44*E$34</f>
        <v>0</v>
      </c>
      <c r="F44" s="22" t="n">
        <f aca="false">IF(AND(F$33-$S44+1-$B$22&gt;=1,F$33-$S44+1-$B$22&lt;=8),INDEX($C$27:$J$27,1,F$33-$S44+1-$B$22),0)*$U44*F$34</f>
        <v>0</v>
      </c>
      <c r="G44" s="22" t="n">
        <f aca="false">IF(AND(G$33-$S44+1-$B$22&gt;=1,G$33-$S44+1-$B$22&lt;=8),INDEX($C$27:$J$27,1,G$33-$S44+1-$B$22),0)*$U44*G$34</f>
        <v>30000</v>
      </c>
      <c r="H44" s="22" t="n">
        <f aca="false">IF(AND(H$33-$S44+1-$B$22&gt;=1,H$33-$S44+1-$B$22&lt;=8),INDEX($C$27:$J$27,1,H$33-$S44+1-$B$22),0)*$U44*H$34</f>
        <v>30000</v>
      </c>
      <c r="I44" s="22" t="n">
        <f aca="false">IF(AND(I$33-$S44+1-$B$22&gt;=1,I$33-$S44+1-$B$22&lt;=8),INDEX($C$27:$J$27,1,I$33-$S44+1-$B$22),0)*$U44*I$34</f>
        <v>30000</v>
      </c>
      <c r="J44" s="22" t="n">
        <f aca="false">IF(AND(J$33-$S44+1-$B$22&gt;=1,J$33-$S44+1-$B$22&lt;=8),INDEX($C$27:$J$27,1,J$33-$S44+1-$B$22),0)*$U44*J$34</f>
        <v>30000</v>
      </c>
      <c r="K44" s="22" t="n">
        <f aca="false">IF(AND(K$33-$S44+1-$B$22&gt;=1,K$33-$S44+1-$B$22&lt;=8),INDEX($C$27:$J$27,1,K$33-$S44+1-$B$22),0)*$U44*K$34</f>
        <v>0</v>
      </c>
      <c r="L44" s="22" t="n">
        <f aca="false">IF(AND(L$33-$S44+1-$B$22&gt;=1,L$33-$S44+1-$B$22&lt;=8),INDEX($C$27:$J$27,1,L$33-$S44+1-$B$22),0)*$U44*L$34</f>
        <v>0</v>
      </c>
      <c r="M44" s="22" t="n">
        <f aca="false">IF(AND(M$33-$S44+1-$B$22&gt;=1,M$33-$S44+1-$B$22&lt;=8),INDEX($C$27:$J$27,1,M$33-$S44+1-$B$22),0)*$U44*M$34</f>
        <v>0</v>
      </c>
      <c r="N44" s="22" t="n">
        <f aca="false">IF(AND(N$33-$S44+1-$B$22&gt;=1,N$33-$S44+1-$B$22&lt;=8),INDEX($C$27:$J$27,1,N$33-$S44+1-$B$22),0)*$U44*N$34</f>
        <v>0</v>
      </c>
      <c r="O44" s="22" t="n">
        <f aca="false">IF(AND(O$33-$S44+1-$B$22&gt;=1,O$33-$S44+1-$B$22&lt;=8),INDEX($C$27:$J$27,1,O$33-$S44+1-$B$22),0)*$U44*O$34</f>
        <v>0</v>
      </c>
      <c r="P44" s="22" t="n">
        <f aca="false">IF(AND(P$33-$S44+1-$B$22&gt;=1,P$33-$S44+1-$B$22&lt;=8),INDEX($C$27:$J$27,1,P$33-$S44+1-$B$22),0)*$U44*P$34</f>
        <v>0</v>
      </c>
      <c r="Q44" s="22" t="n">
        <f aca="false">IF(AND(Q$33-$S44+1-$B$22&gt;=1,Q$33-$S44+1-$B$22&lt;=8),INDEX($C$27:$J$27,1,Q$33-$S44+1-$B$22),0)*$U44*Q$34</f>
        <v>0</v>
      </c>
      <c r="S44" s="23" t="n">
        <f aca="false">$B$20+2</f>
        <v>2029</v>
      </c>
      <c r="T44" s="22" t="n">
        <f aca="false">IF($S44&gt;$B$20+Scenarios!$C$8-1,0,$B$19*(1+$B$21*Scenarios!$C$7)^2)</f>
        <v>120000</v>
      </c>
      <c r="U44" s="24" t="n">
        <f aca="false">IFERROR($T44/INDEX($C$34:$Q$34,1,MATCH($S44,$C$33:$Q$33,0)),0)</f>
        <v>300</v>
      </c>
      <c r="V44" s="24" t="n">
        <f aca="false">SUMPRODUCT(($C$25:$J$25&lt;=$Q$33-$S44+1-$B$22)*$C$27:$J$27)*$U44</f>
        <v>300</v>
      </c>
      <c r="W44" s="24" t="n">
        <f aca="false">$U44-$V44</f>
        <v>0</v>
      </c>
    </row>
    <row r="45" customFormat="false" ht="15" hidden="false" customHeight="false" outlineLevel="0" collapsed="false">
      <c r="A45" s="2" t="s">
        <v>117</v>
      </c>
      <c r="C45" s="22" t="n">
        <f aca="false">IF(AND(C$33-$S45+1-$B$22&gt;=1,C$33-$S45+1-$B$22&lt;=8),INDEX($C$27:$J$27,1,C$33-$S45+1-$B$22),0)*$U45*C$34</f>
        <v>0</v>
      </c>
      <c r="D45" s="22" t="n">
        <f aca="false">IF(AND(D$33-$S45+1-$B$22&gt;=1,D$33-$S45+1-$B$22&lt;=8),INDEX($C$27:$J$27,1,D$33-$S45+1-$B$22),0)*$U45*D$34</f>
        <v>0</v>
      </c>
      <c r="E45" s="22" t="n">
        <f aca="false">IF(AND(E$33-$S45+1-$B$22&gt;=1,E$33-$S45+1-$B$22&lt;=8),INDEX($C$27:$J$27,1,E$33-$S45+1-$B$22),0)*$U45*E$34</f>
        <v>0</v>
      </c>
      <c r="F45" s="22" t="n">
        <f aca="false">IF(AND(F$33-$S45+1-$B$22&gt;=1,F$33-$S45+1-$B$22&lt;=8),INDEX($C$27:$J$27,1,F$33-$S45+1-$B$22),0)*$U45*F$34</f>
        <v>0</v>
      </c>
      <c r="G45" s="22" t="n">
        <f aca="false">IF(AND(G$33-$S45+1-$B$22&gt;=1,G$33-$S45+1-$B$22&lt;=8),INDEX($C$27:$J$27,1,G$33-$S45+1-$B$22),0)*$U45*G$34</f>
        <v>0</v>
      </c>
      <c r="H45" s="22" t="n">
        <f aca="false">IF(AND(H$33-$S45+1-$B$22&gt;=1,H$33-$S45+1-$B$22&lt;=8),INDEX($C$27:$J$27,1,H$33-$S45+1-$B$22),0)*$U45*H$34</f>
        <v>30000</v>
      </c>
      <c r="I45" s="22" t="n">
        <f aca="false">IF(AND(I$33-$S45+1-$B$22&gt;=1,I$33-$S45+1-$B$22&lt;=8),INDEX($C$27:$J$27,1,I$33-$S45+1-$B$22),0)*$U45*I$34</f>
        <v>30000</v>
      </c>
      <c r="J45" s="22" t="n">
        <f aca="false">IF(AND(J$33-$S45+1-$B$22&gt;=1,J$33-$S45+1-$B$22&lt;=8),INDEX($C$27:$J$27,1,J$33-$S45+1-$B$22),0)*$U45*J$34</f>
        <v>30000</v>
      </c>
      <c r="K45" s="22" t="n">
        <f aca="false">IF(AND(K$33-$S45+1-$B$22&gt;=1,K$33-$S45+1-$B$22&lt;=8),INDEX($C$27:$J$27,1,K$33-$S45+1-$B$22),0)*$U45*K$34</f>
        <v>30000</v>
      </c>
      <c r="L45" s="22" t="n">
        <f aca="false">IF(AND(L$33-$S45+1-$B$22&gt;=1,L$33-$S45+1-$B$22&lt;=8),INDEX($C$27:$J$27,1,L$33-$S45+1-$B$22),0)*$U45*L$34</f>
        <v>0</v>
      </c>
      <c r="M45" s="22" t="n">
        <f aca="false">IF(AND(M$33-$S45+1-$B$22&gt;=1,M$33-$S45+1-$B$22&lt;=8),INDEX($C$27:$J$27,1,M$33-$S45+1-$B$22),0)*$U45*M$34</f>
        <v>0</v>
      </c>
      <c r="N45" s="22" t="n">
        <f aca="false">IF(AND(N$33-$S45+1-$B$22&gt;=1,N$33-$S45+1-$B$22&lt;=8),INDEX($C$27:$J$27,1,N$33-$S45+1-$B$22),0)*$U45*N$34</f>
        <v>0</v>
      </c>
      <c r="O45" s="22" t="n">
        <f aca="false">IF(AND(O$33-$S45+1-$B$22&gt;=1,O$33-$S45+1-$B$22&lt;=8),INDEX($C$27:$J$27,1,O$33-$S45+1-$B$22),0)*$U45*O$34</f>
        <v>0</v>
      </c>
      <c r="P45" s="22" t="n">
        <f aca="false">IF(AND(P$33-$S45+1-$B$22&gt;=1,P$33-$S45+1-$B$22&lt;=8),INDEX($C$27:$J$27,1,P$33-$S45+1-$B$22),0)*$U45*P$34</f>
        <v>0</v>
      </c>
      <c r="Q45" s="22" t="n">
        <f aca="false">IF(AND(Q$33-$S45+1-$B$22&gt;=1,Q$33-$S45+1-$B$22&lt;=8),INDEX($C$27:$J$27,1,Q$33-$S45+1-$B$22),0)*$U45*Q$34</f>
        <v>0</v>
      </c>
      <c r="S45" s="23" t="n">
        <f aca="false">$B$20+3</f>
        <v>2030</v>
      </c>
      <c r="T45" s="22" t="n">
        <f aca="false">IF($S45&gt;$B$20+Scenarios!$C$8-1,0,$B$19*(1+$B$21*Scenarios!$C$7)^3)</f>
        <v>120000</v>
      </c>
      <c r="U45" s="24" t="n">
        <f aca="false">IFERROR($T45/INDEX($C$34:$Q$34,1,MATCH($S45,$C$33:$Q$33,0)),0)</f>
        <v>300</v>
      </c>
      <c r="V45" s="24" t="n">
        <f aca="false">SUMPRODUCT(($C$25:$J$25&lt;=$Q$33-$S45+1-$B$22)*$C$27:$J$27)*$U45</f>
        <v>300</v>
      </c>
      <c r="W45" s="24" t="n">
        <f aca="false">$U45-$V45</f>
        <v>0</v>
      </c>
    </row>
    <row r="46" customFormat="false" ht="15" hidden="false" customHeight="false" outlineLevel="0" collapsed="false">
      <c r="A46" s="2" t="s">
        <v>118</v>
      </c>
      <c r="C46" s="22" t="n">
        <f aca="false">IF(AND(C$33-$S46+1-$B$22&gt;=1,C$33-$S46+1-$B$22&lt;=8),INDEX($C$27:$J$27,1,C$33-$S46+1-$B$22),0)*$U46*C$34</f>
        <v>0</v>
      </c>
      <c r="D46" s="22" t="n">
        <f aca="false">IF(AND(D$33-$S46+1-$B$22&gt;=1,D$33-$S46+1-$B$22&lt;=8),INDEX($C$27:$J$27,1,D$33-$S46+1-$B$22),0)*$U46*D$34</f>
        <v>0</v>
      </c>
      <c r="E46" s="22" t="n">
        <f aca="false">IF(AND(E$33-$S46+1-$B$22&gt;=1,E$33-$S46+1-$B$22&lt;=8),INDEX($C$27:$J$27,1,E$33-$S46+1-$B$22),0)*$U46*E$34</f>
        <v>0</v>
      </c>
      <c r="F46" s="22" t="n">
        <f aca="false">IF(AND(F$33-$S46+1-$B$22&gt;=1,F$33-$S46+1-$B$22&lt;=8),INDEX($C$27:$J$27,1,F$33-$S46+1-$B$22),0)*$U46*F$34</f>
        <v>0</v>
      </c>
      <c r="G46" s="22" t="n">
        <f aca="false">IF(AND(G$33-$S46+1-$B$22&gt;=1,G$33-$S46+1-$B$22&lt;=8),INDEX($C$27:$J$27,1,G$33-$S46+1-$B$22),0)*$U46*G$34</f>
        <v>0</v>
      </c>
      <c r="H46" s="22" t="n">
        <f aca="false">IF(AND(H$33-$S46+1-$B$22&gt;=1,H$33-$S46+1-$B$22&lt;=8),INDEX($C$27:$J$27,1,H$33-$S46+1-$B$22),0)*$U46*H$34</f>
        <v>0</v>
      </c>
      <c r="I46" s="22" t="n">
        <f aca="false">IF(AND(I$33-$S46+1-$B$22&gt;=1,I$33-$S46+1-$B$22&lt;=8),INDEX($C$27:$J$27,1,I$33-$S46+1-$B$22),0)*$U46*I$34</f>
        <v>0</v>
      </c>
      <c r="J46" s="22" t="n">
        <f aca="false">IF(AND(J$33-$S46+1-$B$22&gt;=1,J$33-$S46+1-$B$22&lt;=8),INDEX($C$27:$J$27,1,J$33-$S46+1-$B$22),0)*$U46*J$34</f>
        <v>0</v>
      </c>
      <c r="K46" s="22" t="n">
        <f aca="false">IF(AND(K$33-$S46+1-$B$22&gt;=1,K$33-$S46+1-$B$22&lt;=8),INDEX($C$27:$J$27,1,K$33-$S46+1-$B$22),0)*$U46*K$34</f>
        <v>0</v>
      </c>
      <c r="L46" s="22" t="n">
        <f aca="false">IF(AND(L$33-$S46+1-$B$22&gt;=1,L$33-$S46+1-$B$22&lt;=8),INDEX($C$27:$J$27,1,L$33-$S46+1-$B$22),0)*$U46*L$34</f>
        <v>0</v>
      </c>
      <c r="M46" s="22" t="n">
        <f aca="false">IF(AND(M$33-$S46+1-$B$22&gt;=1,M$33-$S46+1-$B$22&lt;=8),INDEX($C$27:$J$27,1,M$33-$S46+1-$B$22),0)*$U46*M$34</f>
        <v>0</v>
      </c>
      <c r="N46" s="22" t="n">
        <f aca="false">IF(AND(N$33-$S46+1-$B$22&gt;=1,N$33-$S46+1-$B$22&lt;=8),INDEX($C$27:$J$27,1,N$33-$S46+1-$B$22),0)*$U46*N$34</f>
        <v>0</v>
      </c>
      <c r="O46" s="22" t="n">
        <f aca="false">IF(AND(O$33-$S46+1-$B$22&gt;=1,O$33-$S46+1-$B$22&lt;=8),INDEX($C$27:$J$27,1,O$33-$S46+1-$B$22),0)*$U46*O$34</f>
        <v>0</v>
      </c>
      <c r="P46" s="22" t="n">
        <f aca="false">IF(AND(P$33-$S46+1-$B$22&gt;=1,P$33-$S46+1-$B$22&lt;=8),INDEX($C$27:$J$27,1,P$33-$S46+1-$B$22),0)*$U46*P$34</f>
        <v>0</v>
      </c>
      <c r="Q46" s="22" t="n">
        <f aca="false">IF(AND(Q$33-$S46+1-$B$22&gt;=1,Q$33-$S46+1-$B$22&lt;=8),INDEX($C$27:$J$27,1,Q$33-$S46+1-$B$22),0)*$U46*Q$34</f>
        <v>0</v>
      </c>
      <c r="S46" s="23" t="n">
        <f aca="false">$B$20+4</f>
        <v>2031</v>
      </c>
      <c r="T46" s="22" t="n">
        <f aca="false">IF($S46&gt;$B$20+Scenarios!$C$8-1,0,$B$19*(1+$B$21*Scenarios!$C$7)^4)</f>
        <v>0</v>
      </c>
      <c r="U46" s="24" t="n">
        <f aca="false">IFERROR($T46/INDEX($C$34:$Q$34,1,MATCH($S46,$C$33:$Q$33,0)),0)</f>
        <v>0</v>
      </c>
      <c r="V46" s="24" t="n">
        <f aca="false">SUMPRODUCT(($C$25:$J$25&lt;=$Q$33-$S46+1-$B$22)*$C$27:$J$27)*$U46</f>
        <v>0</v>
      </c>
      <c r="W46" s="24" t="n">
        <f aca="false">$U46-$V46</f>
        <v>0</v>
      </c>
    </row>
    <row r="47" customFormat="false" ht="15" hidden="false" customHeight="false" outlineLevel="0" collapsed="false">
      <c r="A47" s="2" t="s">
        <v>119</v>
      </c>
      <c r="C47" s="22" t="n">
        <f aca="false">IF(AND(C$33-$S47+1-$B$22&gt;=1,C$33-$S47+1-$B$22&lt;=8),INDEX($C$27:$J$27,1,C$33-$S47+1-$B$22),0)*$U47*C$34</f>
        <v>0</v>
      </c>
      <c r="D47" s="22" t="n">
        <f aca="false">IF(AND(D$33-$S47+1-$B$22&gt;=1,D$33-$S47+1-$B$22&lt;=8),INDEX($C$27:$J$27,1,D$33-$S47+1-$B$22),0)*$U47*D$34</f>
        <v>0</v>
      </c>
      <c r="E47" s="22" t="n">
        <f aca="false">IF(AND(E$33-$S47+1-$B$22&gt;=1,E$33-$S47+1-$B$22&lt;=8),INDEX($C$27:$J$27,1,E$33-$S47+1-$B$22),0)*$U47*E$34</f>
        <v>0</v>
      </c>
      <c r="F47" s="22" t="n">
        <f aca="false">IF(AND(F$33-$S47+1-$B$22&gt;=1,F$33-$S47+1-$B$22&lt;=8),INDEX($C$27:$J$27,1,F$33-$S47+1-$B$22),0)*$U47*F$34</f>
        <v>0</v>
      </c>
      <c r="G47" s="22" t="n">
        <f aca="false">IF(AND(G$33-$S47+1-$B$22&gt;=1,G$33-$S47+1-$B$22&lt;=8),INDEX($C$27:$J$27,1,G$33-$S47+1-$B$22),0)*$U47*G$34</f>
        <v>0</v>
      </c>
      <c r="H47" s="22" t="n">
        <f aca="false">IF(AND(H$33-$S47+1-$B$22&gt;=1,H$33-$S47+1-$B$22&lt;=8),INDEX($C$27:$J$27,1,H$33-$S47+1-$B$22),0)*$U47*H$34</f>
        <v>0</v>
      </c>
      <c r="I47" s="22" t="n">
        <f aca="false">IF(AND(I$33-$S47+1-$B$22&gt;=1,I$33-$S47+1-$B$22&lt;=8),INDEX($C$27:$J$27,1,I$33-$S47+1-$B$22),0)*$U47*I$34</f>
        <v>0</v>
      </c>
      <c r="J47" s="22" t="n">
        <f aca="false">IF(AND(J$33-$S47+1-$B$22&gt;=1,J$33-$S47+1-$B$22&lt;=8),INDEX($C$27:$J$27,1,J$33-$S47+1-$B$22),0)*$U47*J$34</f>
        <v>0</v>
      </c>
      <c r="K47" s="22" t="n">
        <f aca="false">IF(AND(K$33-$S47+1-$B$22&gt;=1,K$33-$S47+1-$B$22&lt;=8),INDEX($C$27:$J$27,1,K$33-$S47+1-$B$22),0)*$U47*K$34</f>
        <v>0</v>
      </c>
      <c r="L47" s="22" t="n">
        <f aca="false">IF(AND(L$33-$S47+1-$B$22&gt;=1,L$33-$S47+1-$B$22&lt;=8),INDEX($C$27:$J$27,1,L$33-$S47+1-$B$22),0)*$U47*L$34</f>
        <v>0</v>
      </c>
      <c r="M47" s="22" t="n">
        <f aca="false">IF(AND(M$33-$S47+1-$B$22&gt;=1,M$33-$S47+1-$B$22&lt;=8),INDEX($C$27:$J$27,1,M$33-$S47+1-$B$22),0)*$U47*M$34</f>
        <v>0</v>
      </c>
      <c r="N47" s="22" t="n">
        <f aca="false">IF(AND(N$33-$S47+1-$B$22&gt;=1,N$33-$S47+1-$B$22&lt;=8),INDEX($C$27:$J$27,1,N$33-$S47+1-$B$22),0)*$U47*N$34</f>
        <v>0</v>
      </c>
      <c r="O47" s="22" t="n">
        <f aca="false">IF(AND(O$33-$S47+1-$B$22&gt;=1,O$33-$S47+1-$B$22&lt;=8),INDEX($C$27:$J$27,1,O$33-$S47+1-$B$22),0)*$U47*O$34</f>
        <v>0</v>
      </c>
      <c r="P47" s="22" t="n">
        <f aca="false">IF(AND(P$33-$S47+1-$B$22&gt;=1,P$33-$S47+1-$B$22&lt;=8),INDEX($C$27:$J$27,1,P$33-$S47+1-$B$22),0)*$U47*P$34</f>
        <v>0</v>
      </c>
      <c r="Q47" s="22" t="n">
        <f aca="false">IF(AND(Q$33-$S47+1-$B$22&gt;=1,Q$33-$S47+1-$B$22&lt;=8),INDEX($C$27:$J$27,1,Q$33-$S47+1-$B$22),0)*$U47*Q$34</f>
        <v>0</v>
      </c>
      <c r="S47" s="23" t="n">
        <f aca="false">$B$20+5</f>
        <v>2032</v>
      </c>
      <c r="T47" s="22" t="n">
        <f aca="false">IF($S47&gt;$B$20+Scenarios!$C$8-1,0,$B$19*(1+$B$21*Scenarios!$C$7)^5)</f>
        <v>0</v>
      </c>
      <c r="U47" s="24" t="n">
        <f aca="false">IFERROR($T47/INDEX($C$34:$Q$34,1,MATCH($S47,$C$33:$Q$33,0)),0)</f>
        <v>0</v>
      </c>
      <c r="V47" s="24" t="n">
        <f aca="false">SUMPRODUCT(($C$25:$J$25&lt;=$Q$33-$S47+1-$B$22)*$C$27:$J$27)*$U47</f>
        <v>0</v>
      </c>
      <c r="W47" s="24" t="n">
        <f aca="false">$U47-$V47</f>
        <v>0</v>
      </c>
    </row>
    <row r="48" customFormat="false" ht="15" hidden="false" customHeight="false" outlineLevel="0" collapsed="false">
      <c r="A48" s="2" t="s">
        <v>120</v>
      </c>
      <c r="C48" s="22" t="n">
        <f aca="false">IF(AND(C$33-$S48+1-$B$22&gt;=1,C$33-$S48+1-$B$22&lt;=8),INDEX($C$27:$J$27,1,C$33-$S48+1-$B$22),0)*$U48*C$34</f>
        <v>0</v>
      </c>
      <c r="D48" s="22" t="n">
        <f aca="false">IF(AND(D$33-$S48+1-$B$22&gt;=1,D$33-$S48+1-$B$22&lt;=8),INDEX($C$27:$J$27,1,D$33-$S48+1-$B$22),0)*$U48*D$34</f>
        <v>0</v>
      </c>
      <c r="E48" s="22" t="n">
        <f aca="false">IF(AND(E$33-$S48+1-$B$22&gt;=1,E$33-$S48+1-$B$22&lt;=8),INDEX($C$27:$J$27,1,E$33-$S48+1-$B$22),0)*$U48*E$34</f>
        <v>0</v>
      </c>
      <c r="F48" s="22" t="n">
        <f aca="false">IF(AND(F$33-$S48+1-$B$22&gt;=1,F$33-$S48+1-$B$22&lt;=8),INDEX($C$27:$J$27,1,F$33-$S48+1-$B$22),0)*$U48*F$34</f>
        <v>0</v>
      </c>
      <c r="G48" s="22" t="n">
        <f aca="false">IF(AND(G$33-$S48+1-$B$22&gt;=1,G$33-$S48+1-$B$22&lt;=8),INDEX($C$27:$J$27,1,G$33-$S48+1-$B$22),0)*$U48*G$34</f>
        <v>0</v>
      </c>
      <c r="H48" s="22" t="n">
        <f aca="false">IF(AND(H$33-$S48+1-$B$22&gt;=1,H$33-$S48+1-$B$22&lt;=8),INDEX($C$27:$J$27,1,H$33-$S48+1-$B$22),0)*$U48*H$34</f>
        <v>0</v>
      </c>
      <c r="I48" s="22" t="n">
        <f aca="false">IF(AND(I$33-$S48+1-$B$22&gt;=1,I$33-$S48+1-$B$22&lt;=8),INDEX($C$27:$J$27,1,I$33-$S48+1-$B$22),0)*$U48*I$34</f>
        <v>0</v>
      </c>
      <c r="J48" s="22" t="n">
        <f aca="false">IF(AND(J$33-$S48+1-$B$22&gt;=1,J$33-$S48+1-$B$22&lt;=8),INDEX($C$27:$J$27,1,J$33-$S48+1-$B$22),0)*$U48*J$34</f>
        <v>0</v>
      </c>
      <c r="K48" s="22" t="n">
        <f aca="false">IF(AND(K$33-$S48+1-$B$22&gt;=1,K$33-$S48+1-$B$22&lt;=8),INDEX($C$27:$J$27,1,K$33-$S48+1-$B$22),0)*$U48*K$34</f>
        <v>0</v>
      </c>
      <c r="L48" s="22" t="n">
        <f aca="false">IF(AND(L$33-$S48+1-$B$22&gt;=1,L$33-$S48+1-$B$22&lt;=8),INDEX($C$27:$J$27,1,L$33-$S48+1-$B$22),0)*$U48*L$34</f>
        <v>0</v>
      </c>
      <c r="M48" s="22" t="n">
        <f aca="false">IF(AND(M$33-$S48+1-$B$22&gt;=1,M$33-$S48+1-$B$22&lt;=8),INDEX($C$27:$J$27,1,M$33-$S48+1-$B$22),0)*$U48*M$34</f>
        <v>0</v>
      </c>
      <c r="N48" s="22" t="n">
        <f aca="false">IF(AND(N$33-$S48+1-$B$22&gt;=1,N$33-$S48+1-$B$22&lt;=8),INDEX($C$27:$J$27,1,N$33-$S48+1-$B$22),0)*$U48*N$34</f>
        <v>0</v>
      </c>
      <c r="O48" s="22" t="n">
        <f aca="false">IF(AND(O$33-$S48+1-$B$22&gt;=1,O$33-$S48+1-$B$22&lt;=8),INDEX($C$27:$J$27,1,O$33-$S48+1-$B$22),0)*$U48*O$34</f>
        <v>0</v>
      </c>
      <c r="P48" s="22" t="n">
        <f aca="false">IF(AND(P$33-$S48+1-$B$22&gt;=1,P$33-$S48+1-$B$22&lt;=8),INDEX($C$27:$J$27,1,P$33-$S48+1-$B$22),0)*$U48*P$34</f>
        <v>0</v>
      </c>
      <c r="Q48" s="22" t="n">
        <f aca="false">IF(AND(Q$33-$S48+1-$B$22&gt;=1,Q$33-$S48+1-$B$22&lt;=8),INDEX($C$27:$J$27,1,Q$33-$S48+1-$B$22),0)*$U48*Q$34</f>
        <v>0</v>
      </c>
      <c r="S48" s="23" t="n">
        <f aca="false">$B$20+6</f>
        <v>2033</v>
      </c>
      <c r="T48" s="22" t="n">
        <f aca="false">IF($S48&gt;$B$20+Scenarios!$C$8-1,0,$B$19*(1+$B$21*Scenarios!$C$7)^6)</f>
        <v>0</v>
      </c>
      <c r="U48" s="24" t="n">
        <f aca="false">IFERROR($T48/INDEX($C$34:$Q$34,1,MATCH($S48,$C$33:$Q$33,0)),0)</f>
        <v>0</v>
      </c>
      <c r="V48" s="24" t="n">
        <f aca="false">SUMPRODUCT(($C$25:$J$25&lt;=$Q$33-$S48+1-$B$22)*$C$27:$J$27)*$U48</f>
        <v>0</v>
      </c>
      <c r="W48" s="24" t="n">
        <f aca="false">$U48-$V48</f>
        <v>0</v>
      </c>
    </row>
    <row r="49" customFormat="false" ht="15" hidden="false" customHeight="false" outlineLevel="0" collapsed="false">
      <c r="A49" s="2" t="s">
        <v>121</v>
      </c>
      <c r="C49" s="22" t="n">
        <f aca="false">IF(AND(C$33-$S49+1-$B$22&gt;=1,C$33-$S49+1-$B$22&lt;=8),INDEX($C$27:$J$27,1,C$33-$S49+1-$B$22),0)*$U49*C$34</f>
        <v>0</v>
      </c>
      <c r="D49" s="22" t="n">
        <f aca="false">IF(AND(D$33-$S49+1-$B$22&gt;=1,D$33-$S49+1-$B$22&lt;=8),INDEX($C$27:$J$27,1,D$33-$S49+1-$B$22),0)*$U49*D$34</f>
        <v>0</v>
      </c>
      <c r="E49" s="22" t="n">
        <f aca="false">IF(AND(E$33-$S49+1-$B$22&gt;=1,E$33-$S49+1-$B$22&lt;=8),INDEX($C$27:$J$27,1,E$33-$S49+1-$B$22),0)*$U49*E$34</f>
        <v>0</v>
      </c>
      <c r="F49" s="22" t="n">
        <f aca="false">IF(AND(F$33-$S49+1-$B$22&gt;=1,F$33-$S49+1-$B$22&lt;=8),INDEX($C$27:$J$27,1,F$33-$S49+1-$B$22),0)*$U49*F$34</f>
        <v>0</v>
      </c>
      <c r="G49" s="22" t="n">
        <f aca="false">IF(AND(G$33-$S49+1-$B$22&gt;=1,G$33-$S49+1-$B$22&lt;=8),INDEX($C$27:$J$27,1,G$33-$S49+1-$B$22),0)*$U49*G$34</f>
        <v>0</v>
      </c>
      <c r="H49" s="22" t="n">
        <f aca="false">IF(AND(H$33-$S49+1-$B$22&gt;=1,H$33-$S49+1-$B$22&lt;=8),INDEX($C$27:$J$27,1,H$33-$S49+1-$B$22),0)*$U49*H$34</f>
        <v>0</v>
      </c>
      <c r="I49" s="22" t="n">
        <f aca="false">IF(AND(I$33-$S49+1-$B$22&gt;=1,I$33-$S49+1-$B$22&lt;=8),INDEX($C$27:$J$27,1,I$33-$S49+1-$B$22),0)*$U49*I$34</f>
        <v>0</v>
      </c>
      <c r="J49" s="22" t="n">
        <f aca="false">IF(AND(J$33-$S49+1-$B$22&gt;=1,J$33-$S49+1-$B$22&lt;=8),INDEX($C$27:$J$27,1,J$33-$S49+1-$B$22),0)*$U49*J$34</f>
        <v>0</v>
      </c>
      <c r="K49" s="22" t="n">
        <f aca="false">IF(AND(K$33-$S49+1-$B$22&gt;=1,K$33-$S49+1-$B$22&lt;=8),INDEX($C$27:$J$27,1,K$33-$S49+1-$B$22),0)*$U49*K$34</f>
        <v>0</v>
      </c>
      <c r="L49" s="22" t="n">
        <f aca="false">IF(AND(L$33-$S49+1-$B$22&gt;=1,L$33-$S49+1-$B$22&lt;=8),INDEX($C$27:$J$27,1,L$33-$S49+1-$B$22),0)*$U49*L$34</f>
        <v>0</v>
      </c>
      <c r="M49" s="22" t="n">
        <f aca="false">IF(AND(M$33-$S49+1-$B$22&gt;=1,M$33-$S49+1-$B$22&lt;=8),INDEX($C$27:$J$27,1,M$33-$S49+1-$B$22),0)*$U49*M$34</f>
        <v>0</v>
      </c>
      <c r="N49" s="22" t="n">
        <f aca="false">IF(AND(N$33-$S49+1-$B$22&gt;=1,N$33-$S49+1-$B$22&lt;=8),INDEX($C$27:$J$27,1,N$33-$S49+1-$B$22),0)*$U49*N$34</f>
        <v>0</v>
      </c>
      <c r="O49" s="22" t="n">
        <f aca="false">IF(AND(O$33-$S49+1-$B$22&gt;=1,O$33-$S49+1-$B$22&lt;=8),INDEX($C$27:$J$27,1,O$33-$S49+1-$B$22),0)*$U49*O$34</f>
        <v>0</v>
      </c>
      <c r="P49" s="22" t="n">
        <f aca="false">IF(AND(P$33-$S49+1-$B$22&gt;=1,P$33-$S49+1-$B$22&lt;=8),INDEX($C$27:$J$27,1,P$33-$S49+1-$B$22),0)*$U49*P$34</f>
        <v>0</v>
      </c>
      <c r="Q49" s="22" t="n">
        <f aca="false">IF(AND(Q$33-$S49+1-$B$22&gt;=1,Q$33-$S49+1-$B$22&lt;=8),INDEX($C$27:$J$27,1,Q$33-$S49+1-$B$22),0)*$U49*Q$34</f>
        <v>0</v>
      </c>
      <c r="S49" s="23" t="n">
        <f aca="false">$B$20+7</f>
        <v>2034</v>
      </c>
      <c r="T49" s="22" t="n">
        <f aca="false">IF($S49&gt;$B$20+Scenarios!$C$8-1,0,$B$19*(1+$B$21*Scenarios!$C$7)^7)</f>
        <v>0</v>
      </c>
      <c r="U49" s="24" t="n">
        <f aca="false">IFERROR($T49/INDEX($C$34:$Q$34,1,MATCH($S49,$C$33:$Q$33,0)),0)</f>
        <v>0</v>
      </c>
      <c r="V49" s="24" t="n">
        <f aca="false">SUMPRODUCT(($C$25:$J$25&lt;=$Q$33-$S49+1-$B$22)*$C$27:$J$27)*$U49</f>
        <v>0</v>
      </c>
      <c r="W49" s="24" t="n">
        <f aca="false">$U49-$V49</f>
        <v>0</v>
      </c>
    </row>
    <row r="50" customFormat="false" ht="15" hidden="false" customHeight="false" outlineLevel="0" collapsed="false">
      <c r="A50" s="2" t="s">
        <v>122</v>
      </c>
      <c r="C50" s="22" t="n">
        <f aca="false">IF(AND(C$33-$S50+1-$B$22&gt;=1,C$33-$S50+1-$B$22&lt;=8),INDEX($C$27:$J$27,1,C$33-$S50+1-$B$22),0)*$U50*C$34</f>
        <v>0</v>
      </c>
      <c r="D50" s="22" t="n">
        <f aca="false">IF(AND(D$33-$S50+1-$B$22&gt;=1,D$33-$S50+1-$B$22&lt;=8),INDEX($C$27:$J$27,1,D$33-$S50+1-$B$22),0)*$U50*D$34</f>
        <v>0</v>
      </c>
      <c r="E50" s="22" t="n">
        <f aca="false">IF(AND(E$33-$S50+1-$B$22&gt;=1,E$33-$S50+1-$B$22&lt;=8),INDEX($C$27:$J$27,1,E$33-$S50+1-$B$22),0)*$U50*E$34</f>
        <v>0</v>
      </c>
      <c r="F50" s="22" t="n">
        <f aca="false">IF(AND(F$33-$S50+1-$B$22&gt;=1,F$33-$S50+1-$B$22&lt;=8),INDEX($C$27:$J$27,1,F$33-$S50+1-$B$22),0)*$U50*F$34</f>
        <v>0</v>
      </c>
      <c r="G50" s="22" t="n">
        <f aca="false">IF(AND(G$33-$S50+1-$B$22&gt;=1,G$33-$S50+1-$B$22&lt;=8),INDEX($C$27:$J$27,1,G$33-$S50+1-$B$22),0)*$U50*G$34</f>
        <v>0</v>
      </c>
      <c r="H50" s="22" t="n">
        <f aca="false">IF(AND(H$33-$S50+1-$B$22&gt;=1,H$33-$S50+1-$B$22&lt;=8),INDEX($C$27:$J$27,1,H$33-$S50+1-$B$22),0)*$U50*H$34</f>
        <v>0</v>
      </c>
      <c r="I50" s="22" t="n">
        <f aca="false">IF(AND(I$33-$S50+1-$B$22&gt;=1,I$33-$S50+1-$B$22&lt;=8),INDEX($C$27:$J$27,1,I$33-$S50+1-$B$22),0)*$U50*I$34</f>
        <v>0</v>
      </c>
      <c r="J50" s="22" t="n">
        <f aca="false">IF(AND(J$33-$S50+1-$B$22&gt;=1,J$33-$S50+1-$B$22&lt;=8),INDEX($C$27:$J$27,1,J$33-$S50+1-$B$22),0)*$U50*J$34</f>
        <v>0</v>
      </c>
      <c r="K50" s="22" t="n">
        <f aca="false">IF(AND(K$33-$S50+1-$B$22&gt;=1,K$33-$S50+1-$B$22&lt;=8),INDEX($C$27:$J$27,1,K$33-$S50+1-$B$22),0)*$U50*K$34</f>
        <v>0</v>
      </c>
      <c r="L50" s="22" t="n">
        <f aca="false">IF(AND(L$33-$S50+1-$B$22&gt;=1,L$33-$S50+1-$B$22&lt;=8),INDEX($C$27:$J$27,1,L$33-$S50+1-$B$22),0)*$U50*L$34</f>
        <v>0</v>
      </c>
      <c r="M50" s="22" t="n">
        <f aca="false">IF(AND(M$33-$S50+1-$B$22&gt;=1,M$33-$S50+1-$B$22&lt;=8),INDEX($C$27:$J$27,1,M$33-$S50+1-$B$22),0)*$U50*M$34</f>
        <v>0</v>
      </c>
      <c r="N50" s="22" t="n">
        <f aca="false">IF(AND(N$33-$S50+1-$B$22&gt;=1,N$33-$S50+1-$B$22&lt;=8),INDEX($C$27:$J$27,1,N$33-$S50+1-$B$22),0)*$U50*N$34</f>
        <v>0</v>
      </c>
      <c r="O50" s="22" t="n">
        <f aca="false">IF(AND(O$33-$S50+1-$B$22&gt;=1,O$33-$S50+1-$B$22&lt;=8),INDEX($C$27:$J$27,1,O$33-$S50+1-$B$22),0)*$U50*O$34</f>
        <v>0</v>
      </c>
      <c r="P50" s="22" t="n">
        <f aca="false">IF(AND(P$33-$S50+1-$B$22&gt;=1,P$33-$S50+1-$B$22&lt;=8),INDEX($C$27:$J$27,1,P$33-$S50+1-$B$22),0)*$U50*P$34</f>
        <v>0</v>
      </c>
      <c r="Q50" s="22" t="n">
        <f aca="false">IF(AND(Q$33-$S50+1-$B$22&gt;=1,Q$33-$S50+1-$B$22&lt;=8),INDEX($C$27:$J$27,1,Q$33-$S50+1-$B$22),0)*$U50*Q$34</f>
        <v>0</v>
      </c>
      <c r="S50" s="23" t="n">
        <f aca="false">$B$20+8</f>
        <v>2035</v>
      </c>
      <c r="T50" s="22" t="n">
        <f aca="false">IF($S50&gt;$B$20+Scenarios!$C$8-1,0,$B$19*(1+$B$21*Scenarios!$C$7)^8)</f>
        <v>0</v>
      </c>
      <c r="U50" s="24" t="n">
        <f aca="false">IFERROR($T50/INDEX($C$34:$Q$34,1,MATCH($S50,$C$33:$Q$33,0)),0)</f>
        <v>0</v>
      </c>
      <c r="V50" s="24" t="n">
        <f aca="false">SUMPRODUCT(($C$25:$J$25&lt;=$Q$33-$S50+1-$B$22)*$C$27:$J$27)*$U50</f>
        <v>0</v>
      </c>
      <c r="W50" s="24" t="n">
        <f aca="false">$U50-$V50</f>
        <v>0</v>
      </c>
    </row>
    <row r="51" customFormat="false" ht="15" hidden="false" customHeight="false" outlineLevel="0" collapsed="false">
      <c r="A51" s="2" t="s">
        <v>123</v>
      </c>
      <c r="C51" s="22" t="n">
        <f aca="false">IF(AND(C$33-$S51+1-$B$22&gt;=1,C$33-$S51+1-$B$22&lt;=8),INDEX($C$27:$J$27,1,C$33-$S51+1-$B$22),0)*$U51*C$34</f>
        <v>0</v>
      </c>
      <c r="D51" s="22" t="n">
        <f aca="false">IF(AND(D$33-$S51+1-$B$22&gt;=1,D$33-$S51+1-$B$22&lt;=8),INDEX($C$27:$J$27,1,D$33-$S51+1-$B$22),0)*$U51*D$34</f>
        <v>0</v>
      </c>
      <c r="E51" s="22" t="n">
        <f aca="false">IF(AND(E$33-$S51+1-$B$22&gt;=1,E$33-$S51+1-$B$22&lt;=8),INDEX($C$27:$J$27,1,E$33-$S51+1-$B$22),0)*$U51*E$34</f>
        <v>0</v>
      </c>
      <c r="F51" s="22" t="n">
        <f aca="false">IF(AND(F$33-$S51+1-$B$22&gt;=1,F$33-$S51+1-$B$22&lt;=8),INDEX($C$27:$J$27,1,F$33-$S51+1-$B$22),0)*$U51*F$34</f>
        <v>0</v>
      </c>
      <c r="G51" s="22" t="n">
        <f aca="false">IF(AND(G$33-$S51+1-$B$22&gt;=1,G$33-$S51+1-$B$22&lt;=8),INDEX($C$27:$J$27,1,G$33-$S51+1-$B$22),0)*$U51*G$34</f>
        <v>0</v>
      </c>
      <c r="H51" s="22" t="n">
        <f aca="false">IF(AND(H$33-$S51+1-$B$22&gt;=1,H$33-$S51+1-$B$22&lt;=8),INDEX($C$27:$J$27,1,H$33-$S51+1-$B$22),0)*$U51*H$34</f>
        <v>0</v>
      </c>
      <c r="I51" s="22" t="n">
        <f aca="false">IF(AND(I$33-$S51+1-$B$22&gt;=1,I$33-$S51+1-$B$22&lt;=8),INDEX($C$27:$J$27,1,I$33-$S51+1-$B$22),0)*$U51*I$34</f>
        <v>0</v>
      </c>
      <c r="J51" s="22" t="n">
        <f aca="false">IF(AND(J$33-$S51+1-$B$22&gt;=1,J$33-$S51+1-$B$22&lt;=8),INDEX($C$27:$J$27,1,J$33-$S51+1-$B$22),0)*$U51*J$34</f>
        <v>0</v>
      </c>
      <c r="K51" s="22" t="n">
        <f aca="false">IF(AND(K$33-$S51+1-$B$22&gt;=1,K$33-$S51+1-$B$22&lt;=8),INDEX($C$27:$J$27,1,K$33-$S51+1-$B$22),0)*$U51*K$34</f>
        <v>0</v>
      </c>
      <c r="L51" s="22" t="n">
        <f aca="false">IF(AND(L$33-$S51+1-$B$22&gt;=1,L$33-$S51+1-$B$22&lt;=8),INDEX($C$27:$J$27,1,L$33-$S51+1-$B$22),0)*$U51*L$34</f>
        <v>0</v>
      </c>
      <c r="M51" s="22" t="n">
        <f aca="false">IF(AND(M$33-$S51+1-$B$22&gt;=1,M$33-$S51+1-$B$22&lt;=8),INDEX($C$27:$J$27,1,M$33-$S51+1-$B$22),0)*$U51*M$34</f>
        <v>0</v>
      </c>
      <c r="N51" s="22" t="n">
        <f aca="false">IF(AND(N$33-$S51+1-$B$22&gt;=1,N$33-$S51+1-$B$22&lt;=8),INDEX($C$27:$J$27,1,N$33-$S51+1-$B$22),0)*$U51*N$34</f>
        <v>0</v>
      </c>
      <c r="O51" s="22" t="n">
        <f aca="false">IF(AND(O$33-$S51+1-$B$22&gt;=1,O$33-$S51+1-$B$22&lt;=8),INDEX($C$27:$J$27,1,O$33-$S51+1-$B$22),0)*$U51*O$34</f>
        <v>0</v>
      </c>
      <c r="P51" s="22" t="n">
        <f aca="false">IF(AND(P$33-$S51+1-$B$22&gt;=1,P$33-$S51+1-$B$22&lt;=8),INDEX($C$27:$J$27,1,P$33-$S51+1-$B$22),0)*$U51*P$34</f>
        <v>0</v>
      </c>
      <c r="Q51" s="22" t="n">
        <f aca="false">IF(AND(Q$33-$S51+1-$B$22&gt;=1,Q$33-$S51+1-$B$22&lt;=8),INDEX($C$27:$J$27,1,Q$33-$S51+1-$B$22),0)*$U51*Q$34</f>
        <v>0</v>
      </c>
      <c r="S51" s="23" t="n">
        <f aca="false">$B$20+9</f>
        <v>2036</v>
      </c>
      <c r="T51" s="22" t="n">
        <f aca="false">IF($S51&gt;$B$20+Scenarios!$C$8-1,0,$B$19*(1+$B$21*Scenarios!$C$7)^9)</f>
        <v>0</v>
      </c>
      <c r="U51" s="24" t="n">
        <f aca="false">IFERROR($T51/INDEX($C$34:$Q$34,1,MATCH($S51,$C$33:$Q$33,0)),0)</f>
        <v>0</v>
      </c>
      <c r="V51" s="24" t="n">
        <f aca="false">SUMPRODUCT(($C$25:$J$25&lt;=$Q$33-$S51+1-$B$22)*$C$27:$J$27)*$U51</f>
        <v>0</v>
      </c>
      <c r="W51" s="24" t="n">
        <f aca="false">$U51-$V51</f>
        <v>0</v>
      </c>
    </row>
    <row r="52" customFormat="false" ht="15" hidden="false" customHeight="false" outlineLevel="0" collapsed="false">
      <c r="A52" s="2" t="s">
        <v>124</v>
      </c>
      <c r="C52" s="22" t="n">
        <f aca="false">IF(AND(C$33-$S52+1-$B$22&gt;=1,C$33-$S52+1-$B$22&lt;=8),INDEX($C$27:$J$27,1,C$33-$S52+1-$B$22),0)*$U52*C$34</f>
        <v>0</v>
      </c>
      <c r="D52" s="22" t="n">
        <f aca="false">IF(AND(D$33-$S52+1-$B$22&gt;=1,D$33-$S52+1-$B$22&lt;=8),INDEX($C$27:$J$27,1,D$33-$S52+1-$B$22),0)*$U52*D$34</f>
        <v>0</v>
      </c>
      <c r="E52" s="22" t="n">
        <f aca="false">IF(AND(E$33-$S52+1-$B$22&gt;=1,E$33-$S52+1-$B$22&lt;=8),INDEX($C$27:$J$27,1,E$33-$S52+1-$B$22),0)*$U52*E$34</f>
        <v>0</v>
      </c>
      <c r="F52" s="22" t="n">
        <f aca="false">IF(AND(F$33-$S52+1-$B$22&gt;=1,F$33-$S52+1-$B$22&lt;=8),INDEX($C$27:$J$27,1,F$33-$S52+1-$B$22),0)*$U52*F$34</f>
        <v>0</v>
      </c>
      <c r="G52" s="22" t="n">
        <f aca="false">IF(AND(G$33-$S52+1-$B$22&gt;=1,G$33-$S52+1-$B$22&lt;=8),INDEX($C$27:$J$27,1,G$33-$S52+1-$B$22),0)*$U52*G$34</f>
        <v>0</v>
      </c>
      <c r="H52" s="22" t="n">
        <f aca="false">IF(AND(H$33-$S52+1-$B$22&gt;=1,H$33-$S52+1-$B$22&lt;=8),INDEX($C$27:$J$27,1,H$33-$S52+1-$B$22),0)*$U52*H$34</f>
        <v>0</v>
      </c>
      <c r="I52" s="22" t="n">
        <f aca="false">IF(AND(I$33-$S52+1-$B$22&gt;=1,I$33-$S52+1-$B$22&lt;=8),INDEX($C$27:$J$27,1,I$33-$S52+1-$B$22),0)*$U52*I$34</f>
        <v>0</v>
      </c>
      <c r="J52" s="22" t="n">
        <f aca="false">IF(AND(J$33-$S52+1-$B$22&gt;=1,J$33-$S52+1-$B$22&lt;=8),INDEX($C$27:$J$27,1,J$33-$S52+1-$B$22),0)*$U52*J$34</f>
        <v>0</v>
      </c>
      <c r="K52" s="22" t="n">
        <f aca="false">IF(AND(K$33-$S52+1-$B$22&gt;=1,K$33-$S52+1-$B$22&lt;=8),INDEX($C$27:$J$27,1,K$33-$S52+1-$B$22),0)*$U52*K$34</f>
        <v>0</v>
      </c>
      <c r="L52" s="22" t="n">
        <f aca="false">IF(AND(L$33-$S52+1-$B$22&gt;=1,L$33-$S52+1-$B$22&lt;=8),INDEX($C$27:$J$27,1,L$33-$S52+1-$B$22),0)*$U52*L$34</f>
        <v>0</v>
      </c>
      <c r="M52" s="22" t="n">
        <f aca="false">IF(AND(M$33-$S52+1-$B$22&gt;=1,M$33-$S52+1-$B$22&lt;=8),INDEX($C$27:$J$27,1,M$33-$S52+1-$B$22),0)*$U52*M$34</f>
        <v>0</v>
      </c>
      <c r="N52" s="22" t="n">
        <f aca="false">IF(AND(N$33-$S52+1-$B$22&gt;=1,N$33-$S52+1-$B$22&lt;=8),INDEX($C$27:$J$27,1,N$33-$S52+1-$B$22),0)*$U52*N$34</f>
        <v>0</v>
      </c>
      <c r="O52" s="22" t="n">
        <f aca="false">IF(AND(O$33-$S52+1-$B$22&gt;=1,O$33-$S52+1-$B$22&lt;=8),INDEX($C$27:$J$27,1,O$33-$S52+1-$B$22),0)*$U52*O$34</f>
        <v>0</v>
      </c>
      <c r="P52" s="22" t="n">
        <f aca="false">IF(AND(P$33-$S52+1-$B$22&gt;=1,P$33-$S52+1-$B$22&lt;=8),INDEX($C$27:$J$27,1,P$33-$S52+1-$B$22),0)*$U52*P$34</f>
        <v>0</v>
      </c>
      <c r="Q52" s="22" t="n">
        <f aca="false">IF(AND(Q$33-$S52+1-$B$22&gt;=1,Q$33-$S52+1-$B$22&lt;=8),INDEX($C$27:$J$27,1,Q$33-$S52+1-$B$22),0)*$U52*Q$34</f>
        <v>0</v>
      </c>
      <c r="S52" s="23" t="n">
        <f aca="false">$B$20+10</f>
        <v>2037</v>
      </c>
      <c r="T52" s="22" t="n">
        <f aca="false">IF($S52&gt;$B$20+Scenarios!$C$8-1,0,$B$19*(1+$B$21*Scenarios!$C$7)^10)</f>
        <v>0</v>
      </c>
      <c r="U52" s="24" t="n">
        <f aca="false">IFERROR($T52/INDEX($C$34:$Q$34,1,MATCH($S52,$C$33:$Q$33,0)),0)</f>
        <v>0</v>
      </c>
      <c r="V52" s="24" t="n">
        <f aca="false">SUMPRODUCT(($C$25:$J$25&lt;=$Q$33-$S52+1-$B$22)*$C$27:$J$27)*$U52</f>
        <v>0</v>
      </c>
      <c r="W52" s="24" t="n">
        <f aca="false">$U52-$V52</f>
        <v>0</v>
      </c>
    </row>
    <row r="53" customFormat="false" ht="15" hidden="false" customHeight="false" outlineLevel="0" collapsed="false">
      <c r="A53" s="2" t="s">
        <v>125</v>
      </c>
      <c r="C53" s="22" t="n">
        <f aca="false">IF(AND(C$33-$S53+1-$B$22&gt;=1,C$33-$S53+1-$B$22&lt;=8),INDEX($C$27:$J$27,1,C$33-$S53+1-$B$22),0)*$U53*C$34</f>
        <v>0</v>
      </c>
      <c r="D53" s="22" t="n">
        <f aca="false">IF(AND(D$33-$S53+1-$B$22&gt;=1,D$33-$S53+1-$B$22&lt;=8),INDEX($C$27:$J$27,1,D$33-$S53+1-$B$22),0)*$U53*D$34</f>
        <v>0</v>
      </c>
      <c r="E53" s="22" t="n">
        <f aca="false">IF(AND(E$33-$S53+1-$B$22&gt;=1,E$33-$S53+1-$B$22&lt;=8),INDEX($C$27:$J$27,1,E$33-$S53+1-$B$22),0)*$U53*E$34</f>
        <v>0</v>
      </c>
      <c r="F53" s="22" t="n">
        <f aca="false">IF(AND(F$33-$S53+1-$B$22&gt;=1,F$33-$S53+1-$B$22&lt;=8),INDEX($C$27:$J$27,1,F$33-$S53+1-$B$22),0)*$U53*F$34</f>
        <v>0</v>
      </c>
      <c r="G53" s="22" t="n">
        <f aca="false">IF(AND(G$33-$S53+1-$B$22&gt;=1,G$33-$S53+1-$B$22&lt;=8),INDEX($C$27:$J$27,1,G$33-$S53+1-$B$22),0)*$U53*G$34</f>
        <v>0</v>
      </c>
      <c r="H53" s="22" t="n">
        <f aca="false">IF(AND(H$33-$S53+1-$B$22&gt;=1,H$33-$S53+1-$B$22&lt;=8),INDEX($C$27:$J$27,1,H$33-$S53+1-$B$22),0)*$U53*H$34</f>
        <v>0</v>
      </c>
      <c r="I53" s="22" t="n">
        <f aca="false">IF(AND(I$33-$S53+1-$B$22&gt;=1,I$33-$S53+1-$B$22&lt;=8),INDEX($C$27:$J$27,1,I$33-$S53+1-$B$22),0)*$U53*I$34</f>
        <v>0</v>
      </c>
      <c r="J53" s="22" t="n">
        <f aca="false">IF(AND(J$33-$S53+1-$B$22&gt;=1,J$33-$S53+1-$B$22&lt;=8),INDEX($C$27:$J$27,1,J$33-$S53+1-$B$22),0)*$U53*J$34</f>
        <v>0</v>
      </c>
      <c r="K53" s="22" t="n">
        <f aca="false">IF(AND(K$33-$S53+1-$B$22&gt;=1,K$33-$S53+1-$B$22&lt;=8),INDEX($C$27:$J$27,1,K$33-$S53+1-$B$22),0)*$U53*K$34</f>
        <v>0</v>
      </c>
      <c r="L53" s="22" t="n">
        <f aca="false">IF(AND(L$33-$S53+1-$B$22&gt;=1,L$33-$S53+1-$B$22&lt;=8),INDEX($C$27:$J$27,1,L$33-$S53+1-$B$22),0)*$U53*L$34</f>
        <v>0</v>
      </c>
      <c r="M53" s="22" t="n">
        <f aca="false">IF(AND(M$33-$S53+1-$B$22&gt;=1,M$33-$S53+1-$B$22&lt;=8),INDEX($C$27:$J$27,1,M$33-$S53+1-$B$22),0)*$U53*M$34</f>
        <v>0</v>
      </c>
      <c r="N53" s="22" t="n">
        <f aca="false">IF(AND(N$33-$S53+1-$B$22&gt;=1,N$33-$S53+1-$B$22&lt;=8),INDEX($C$27:$J$27,1,N$33-$S53+1-$B$22),0)*$U53*N$34</f>
        <v>0</v>
      </c>
      <c r="O53" s="22" t="n">
        <f aca="false">IF(AND(O$33-$S53+1-$B$22&gt;=1,O$33-$S53+1-$B$22&lt;=8),INDEX($C$27:$J$27,1,O$33-$S53+1-$B$22),0)*$U53*O$34</f>
        <v>0</v>
      </c>
      <c r="P53" s="22" t="n">
        <f aca="false">IF(AND(P$33-$S53+1-$B$22&gt;=1,P$33-$S53+1-$B$22&lt;=8),INDEX($C$27:$J$27,1,P$33-$S53+1-$B$22),0)*$U53*P$34</f>
        <v>0</v>
      </c>
      <c r="Q53" s="22" t="n">
        <f aca="false">IF(AND(Q$33-$S53+1-$B$22&gt;=1,Q$33-$S53+1-$B$22&lt;=8),INDEX($C$27:$J$27,1,Q$33-$S53+1-$B$22),0)*$U53*Q$34</f>
        <v>0</v>
      </c>
      <c r="S53" s="23" t="n">
        <f aca="false">$B$20+11</f>
        <v>2038</v>
      </c>
      <c r="T53" s="22" t="n">
        <f aca="false">IF($S53&gt;$B$20+Scenarios!$C$8-1,0,$B$19*(1+$B$21*Scenarios!$C$7)^11)</f>
        <v>0</v>
      </c>
      <c r="U53" s="24" t="n">
        <f aca="false">IFERROR($T53/INDEX($C$34:$Q$34,1,MATCH($S53,$C$33:$Q$33,0)),0)</f>
        <v>0</v>
      </c>
      <c r="V53" s="24" t="n">
        <f aca="false">SUMPRODUCT(($C$25:$J$25&lt;=$Q$33-$S53+1-$B$22)*$C$27:$J$27)*$U53</f>
        <v>0</v>
      </c>
      <c r="W53" s="24" t="n">
        <f aca="false">$U53-$V53</f>
        <v>0</v>
      </c>
    </row>
    <row r="55" customFormat="false" ht="15" hidden="false" customHeight="false" outlineLevel="0" collapsed="false">
      <c r="A55" s="2" t="s">
        <v>126</v>
      </c>
      <c r="C55" s="22" t="n">
        <f aca="false">C41</f>
        <v>0</v>
      </c>
      <c r="D55" s="22" t="n">
        <f aca="false">D41</f>
        <v>87500</v>
      </c>
      <c r="E55" s="22" t="n">
        <f aca="false">E41</f>
        <v>87500</v>
      </c>
      <c r="F55" s="22" t="n">
        <f aca="false">F41</f>
        <v>87500</v>
      </c>
      <c r="G55" s="22" t="n">
        <f aca="false">G41</f>
        <v>87500</v>
      </c>
      <c r="H55" s="22" t="n">
        <f aca="false">H41</f>
        <v>0</v>
      </c>
      <c r="I55" s="22" t="n">
        <f aca="false">I41</f>
        <v>0</v>
      </c>
      <c r="J55" s="22" t="n">
        <f aca="false">J41</f>
        <v>0</v>
      </c>
      <c r="K55" s="22" t="n">
        <f aca="false">K41</f>
        <v>0</v>
      </c>
      <c r="L55" s="22" t="n">
        <f aca="false">L41</f>
        <v>0</v>
      </c>
      <c r="M55" s="22" t="n">
        <f aca="false">M41</f>
        <v>0</v>
      </c>
      <c r="N55" s="22" t="n">
        <f aca="false">N41</f>
        <v>0</v>
      </c>
      <c r="O55" s="22" t="n">
        <f aca="false">O41</f>
        <v>0</v>
      </c>
      <c r="P55" s="22" t="n">
        <f aca="false">P41</f>
        <v>0</v>
      </c>
      <c r="Q55" s="22" t="n">
        <f aca="false">Q41</f>
        <v>0</v>
      </c>
    </row>
    <row r="56" customFormat="false" ht="15" hidden="false" customHeight="false" outlineLevel="0" collapsed="false">
      <c r="A56" s="2" t="s">
        <v>127</v>
      </c>
      <c r="C56" s="22" t="n">
        <f aca="false">SUM(C42:C53)</f>
        <v>0</v>
      </c>
      <c r="D56" s="22" t="n">
        <f aca="false">SUM(D42:D53)</f>
        <v>0</v>
      </c>
      <c r="E56" s="22" t="n">
        <f aca="false">SUM(E42:E53)</f>
        <v>30000</v>
      </c>
      <c r="F56" s="22" t="n">
        <f aca="false">SUM(F42:F53)</f>
        <v>60000</v>
      </c>
      <c r="G56" s="22" t="n">
        <f aca="false">SUM(G42:G53)</f>
        <v>90000</v>
      </c>
      <c r="H56" s="22" t="n">
        <f aca="false">SUM(H42:H53)</f>
        <v>120000</v>
      </c>
      <c r="I56" s="22" t="n">
        <f aca="false">SUM(I42:I53)</f>
        <v>90000</v>
      </c>
      <c r="J56" s="22" t="n">
        <f aca="false">SUM(J42:J53)</f>
        <v>60000</v>
      </c>
      <c r="K56" s="22" t="n">
        <f aca="false">SUM(K42:K53)</f>
        <v>30000</v>
      </c>
      <c r="L56" s="22" t="n">
        <f aca="false">SUM(L42:L53)</f>
        <v>0</v>
      </c>
      <c r="M56" s="22" t="n">
        <f aca="false">SUM(M42:M53)</f>
        <v>0</v>
      </c>
      <c r="N56" s="22" t="n">
        <f aca="false">SUM(N42:N53)</f>
        <v>0</v>
      </c>
      <c r="O56" s="22" t="n">
        <f aca="false">SUM(O42:O53)</f>
        <v>0</v>
      </c>
      <c r="P56" s="22" t="n">
        <f aca="false">SUM(P42:P53)</f>
        <v>0</v>
      </c>
      <c r="Q56" s="22" t="n">
        <f aca="false">SUM(Q42:Q53)</f>
        <v>0</v>
      </c>
    </row>
    <row r="57" customFormat="false" ht="15" hidden="false" customHeight="false" outlineLevel="0" collapsed="false">
      <c r="A57" s="3" t="s">
        <v>128</v>
      </c>
      <c r="C57" s="25" t="n">
        <f aca="false">C55+C56</f>
        <v>0</v>
      </c>
      <c r="D57" s="25" t="n">
        <f aca="false">D55+D56</f>
        <v>87500</v>
      </c>
      <c r="E57" s="25" t="n">
        <f aca="false">E55+E56</f>
        <v>117500</v>
      </c>
      <c r="F57" s="25" t="n">
        <f aca="false">F55+F56</f>
        <v>147500</v>
      </c>
      <c r="G57" s="25" t="n">
        <f aca="false">G55+G56</f>
        <v>177500</v>
      </c>
      <c r="H57" s="25" t="n">
        <f aca="false">H55+H56</f>
        <v>120000</v>
      </c>
      <c r="I57" s="25" t="n">
        <f aca="false">I55+I56</f>
        <v>90000</v>
      </c>
      <c r="J57" s="25" t="n">
        <f aca="false">J55+J56</f>
        <v>60000</v>
      </c>
      <c r="K57" s="25" t="n">
        <f aca="false">K55+K56</f>
        <v>30000</v>
      </c>
      <c r="L57" s="25" t="n">
        <f aca="false">L55+L56</f>
        <v>0</v>
      </c>
      <c r="M57" s="25" t="n">
        <f aca="false">M55+M56</f>
        <v>0</v>
      </c>
      <c r="N57" s="25" t="n">
        <f aca="false">N55+N56</f>
        <v>0</v>
      </c>
      <c r="O57" s="25" t="n">
        <f aca="false">O55+O56</f>
        <v>0</v>
      </c>
      <c r="P57" s="25" t="n">
        <f aca="false">P55+P56</f>
        <v>0</v>
      </c>
      <c r="Q57" s="25" t="n">
        <f aca="false">Q55+Q56</f>
        <v>0</v>
      </c>
    </row>
    <row r="58" customFormat="false" ht="15" hidden="false" customHeight="false" outlineLevel="0" collapsed="false">
      <c r="A58" s="2" t="s">
        <v>129</v>
      </c>
      <c r="C58" s="23" t="n">
        <f aca="false">SUMPRODUCT((C41:C53&gt;0)*1)</f>
        <v>0</v>
      </c>
      <c r="D58" s="23" t="n">
        <f aca="false">SUMPRODUCT((D41:D53&gt;0)*1)</f>
        <v>1</v>
      </c>
      <c r="E58" s="23" t="n">
        <f aca="false">SUMPRODUCT((E41:E53&gt;0)*1)</f>
        <v>2</v>
      </c>
      <c r="F58" s="23" t="n">
        <f aca="false">SUMPRODUCT((F41:F53&gt;0)*1)</f>
        <v>3</v>
      </c>
      <c r="G58" s="23" t="n">
        <f aca="false">SUMPRODUCT((G41:G53&gt;0)*1)</f>
        <v>4</v>
      </c>
      <c r="H58" s="23" t="n">
        <f aca="false">SUMPRODUCT((H41:H53&gt;0)*1)</f>
        <v>4</v>
      </c>
      <c r="I58" s="23" t="n">
        <f aca="false">SUMPRODUCT((I41:I53&gt;0)*1)</f>
        <v>3</v>
      </c>
      <c r="J58" s="23" t="n">
        <f aca="false">SUMPRODUCT((J41:J53&gt;0)*1)</f>
        <v>2</v>
      </c>
      <c r="K58" s="23" t="n">
        <f aca="false">SUMPRODUCT((K41:K53&gt;0)*1)</f>
        <v>1</v>
      </c>
      <c r="L58" s="23" t="n">
        <f aca="false">SUMPRODUCT((L41:L53&gt;0)*1)</f>
        <v>0</v>
      </c>
      <c r="M58" s="23" t="n">
        <f aca="false">SUMPRODUCT((M41:M53&gt;0)*1)</f>
        <v>0</v>
      </c>
      <c r="N58" s="23" t="n">
        <f aca="false">SUMPRODUCT((N41:N53&gt;0)*1)</f>
        <v>0</v>
      </c>
      <c r="O58" s="23" t="n">
        <f aca="false">SUMPRODUCT((O41:O53&gt;0)*1)</f>
        <v>0</v>
      </c>
      <c r="P58" s="23" t="n">
        <f aca="false">SUMPRODUCT((P41:P53&gt;0)*1)</f>
        <v>0</v>
      </c>
      <c r="Q58" s="23" t="n">
        <f aca="false">SUMPRODUCT((Q41:Q53&gt;0)*1)</f>
        <v>0</v>
      </c>
    </row>
    <row r="60" customFormat="false" ht="15" hidden="false" customHeight="false" outlineLevel="0" collapsed="false">
      <c r="A60" s="3" t="s">
        <v>130</v>
      </c>
      <c r="C60" s="26" t="n">
        <f aca="false">C35+C37+C38+C57</f>
        <v>247500</v>
      </c>
      <c r="D60" s="26" t="n">
        <f aca="false">D35+D37+D38+D57</f>
        <v>370122.5</v>
      </c>
      <c r="E60" s="26" t="n">
        <f aca="false">E35+E37+E38+E57</f>
        <v>366299.3375</v>
      </c>
      <c r="F60" s="26" t="n">
        <f aca="false">F35+F37+F38+F57</f>
        <v>400031.3275625</v>
      </c>
      <c r="G60" s="26" t="n">
        <f aca="false">G35+G37+G38+G57</f>
        <v>433819.297475937</v>
      </c>
      <c r="H60" s="26" t="n">
        <f aca="false">H35+H37+H38+H57</f>
        <v>380164.086938076</v>
      </c>
      <c r="I60" s="26" t="n">
        <f aca="false">I35+I37+I38+I57</f>
        <v>354066.548242148</v>
      </c>
      <c r="J60" s="26" t="n">
        <f aca="false">J35+J37+J38+J57</f>
        <v>328027.54646578</v>
      </c>
      <c r="K60" s="26" t="n">
        <f aca="false">K35+K37+K38+K57</f>
        <v>302047.959662766</v>
      </c>
      <c r="L60" s="26" t="n">
        <f aca="false">L35+L37+L38+L57</f>
        <v>276128.679057708</v>
      </c>
      <c r="M60" s="26" t="n">
        <f aca="false">M35+M37+M38+M57</f>
        <v>280270.609243574</v>
      </c>
      <c r="N60" s="26" t="n">
        <f aca="false">N35+N37+N38+N57</f>
        <v>284474.668382227</v>
      </c>
      <c r="O60" s="26" t="n">
        <f aca="false">O35+O37+O38+O57</f>
        <v>288741.78840796</v>
      </c>
      <c r="P60" s="26" t="n">
        <f aca="false">P35+P37+P38+P57</f>
        <v>293072.91523408</v>
      </c>
      <c r="Q60" s="26" t="n">
        <f aca="false">Q35+Q37+Q38+Q57</f>
        <v>297469.008962591</v>
      </c>
    </row>
    <row r="61" customFormat="false" ht="15" hidden="false" customHeight="false" outlineLevel="0" collapsed="false">
      <c r="A61" s="3" t="s">
        <v>131</v>
      </c>
      <c r="C61" s="25" t="n">
        <f aca="false">C60</f>
        <v>247500</v>
      </c>
      <c r="D61" s="25" t="n">
        <f aca="false">C61+D60</f>
        <v>617622.5</v>
      </c>
      <c r="E61" s="25" t="n">
        <f aca="false">D61+E60</f>
        <v>983921.8375</v>
      </c>
      <c r="F61" s="25" t="n">
        <f aca="false">E61+F60</f>
        <v>1383953.1650625</v>
      </c>
      <c r="G61" s="25" t="n">
        <f aca="false">F61+G60</f>
        <v>1817772.46253844</v>
      </c>
      <c r="H61" s="25" t="n">
        <f aca="false">G61+H60</f>
        <v>2197936.54947651</v>
      </c>
      <c r="I61" s="25" t="n">
        <f aca="false">H61+I60</f>
        <v>2552003.09771866</v>
      </c>
      <c r="J61" s="25" t="n">
        <f aca="false">I61+J60</f>
        <v>2880030.64418444</v>
      </c>
      <c r="K61" s="25" t="n">
        <f aca="false">J61+K60</f>
        <v>3182078.60384721</v>
      </c>
      <c r="L61" s="25" t="n">
        <f aca="false">K61+L60</f>
        <v>3458207.28290492</v>
      </c>
      <c r="M61" s="25" t="n">
        <f aca="false">L61+M60</f>
        <v>3738477.89214849</v>
      </c>
      <c r="N61" s="25" t="n">
        <f aca="false">M61+N60</f>
        <v>4022952.56053072</v>
      </c>
      <c r="O61" s="25" t="n">
        <f aca="false">N61+O60</f>
        <v>4311694.34893868</v>
      </c>
      <c r="P61" s="25" t="n">
        <f aca="false">O61+P60</f>
        <v>4604767.26417276</v>
      </c>
      <c r="Q61" s="25" t="n">
        <f aca="false">P61+Q60</f>
        <v>4902236.27313535</v>
      </c>
    </row>
    <row r="63" customFormat="false" ht="15" hidden="false" customHeight="false" outlineLevel="0" collapsed="false">
      <c r="A63" s="2" t="s">
        <v>132</v>
      </c>
      <c r="B63" s="24" t="n">
        <f aca="false">SUM(W41:W53)</f>
        <v>0</v>
      </c>
    </row>
    <row r="64" customFormat="false" ht="15" hidden="false" customHeight="false" outlineLevel="0" collapsed="false">
      <c r="A64" s="2" t="s">
        <v>133</v>
      </c>
      <c r="B64" s="22" t="n">
        <f aca="false">B63*$Q$34</f>
        <v>0</v>
      </c>
    </row>
    <row r="76" customFormat="false" ht="15" hidden="false" customHeight="false" outlineLevel="0" collapsed="false">
      <c r="A76" s="18" t="s">
        <v>134</v>
      </c>
      <c r="B76" s="19" t="str">
        <f aca="false">Scenarios!D$3</f>
        <v>Medium</v>
      </c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</row>
    <row r="77" customFormat="false" ht="15" hidden="false" customHeight="false" outlineLevel="0" collapsed="false">
      <c r="A77" s="3" t="s">
        <v>101</v>
      </c>
      <c r="C77" s="17" t="n">
        <v>1</v>
      </c>
      <c r="D77" s="17" t="n">
        <v>2</v>
      </c>
      <c r="E77" s="17" t="n">
        <v>3</v>
      </c>
      <c r="F77" s="17" t="n">
        <v>4</v>
      </c>
      <c r="G77" s="17" t="n">
        <v>5</v>
      </c>
      <c r="H77" s="17" t="n">
        <v>6</v>
      </c>
      <c r="I77" s="17" t="n">
        <v>7</v>
      </c>
      <c r="J77" s="17" t="n">
        <v>8</v>
      </c>
      <c r="K77" s="17" t="n">
        <v>9</v>
      </c>
      <c r="L77" s="17" t="n">
        <v>10</v>
      </c>
      <c r="M77" s="17" t="n">
        <v>11</v>
      </c>
      <c r="N77" s="17" t="n">
        <v>12</v>
      </c>
      <c r="O77" s="17" t="n">
        <v>13</v>
      </c>
      <c r="P77" s="17" t="n">
        <v>14</v>
      </c>
      <c r="Q77" s="17" t="n">
        <v>15</v>
      </c>
    </row>
    <row r="78" customFormat="false" ht="15" hidden="false" customHeight="false" outlineLevel="0" collapsed="false">
      <c r="A78" s="3" t="s">
        <v>102</v>
      </c>
      <c r="C78" s="17" t="n">
        <f aca="false">$B$6</f>
        <v>2026</v>
      </c>
      <c r="D78" s="17" t="n">
        <f aca="false">C78+1</f>
        <v>2027</v>
      </c>
      <c r="E78" s="17" t="n">
        <f aca="false">D78+1</f>
        <v>2028</v>
      </c>
      <c r="F78" s="17" t="n">
        <f aca="false">E78+1</f>
        <v>2029</v>
      </c>
      <c r="G78" s="17" t="n">
        <f aca="false">F78+1</f>
        <v>2030</v>
      </c>
      <c r="H78" s="17" t="n">
        <f aca="false">G78+1</f>
        <v>2031</v>
      </c>
      <c r="I78" s="17" t="n">
        <f aca="false">H78+1</f>
        <v>2032</v>
      </c>
      <c r="J78" s="17" t="n">
        <f aca="false">I78+1</f>
        <v>2033</v>
      </c>
      <c r="K78" s="17" t="n">
        <f aca="false">J78+1</f>
        <v>2034</v>
      </c>
      <c r="L78" s="17" t="n">
        <f aca="false">K78+1</f>
        <v>2035</v>
      </c>
      <c r="M78" s="17" t="n">
        <f aca="false">L78+1</f>
        <v>2036</v>
      </c>
      <c r="N78" s="17" t="n">
        <f aca="false">M78+1</f>
        <v>2037</v>
      </c>
      <c r="O78" s="17" t="n">
        <f aca="false">N78+1</f>
        <v>2038</v>
      </c>
      <c r="P78" s="17" t="n">
        <f aca="false">O78+1</f>
        <v>2039</v>
      </c>
      <c r="Q78" s="17" t="n">
        <f aca="false">P78+1</f>
        <v>2040</v>
      </c>
    </row>
    <row r="79" customFormat="false" ht="15" hidden="false" customHeight="false" outlineLevel="0" collapsed="false">
      <c r="A79" s="2" t="s">
        <v>103</v>
      </c>
      <c r="C79" s="21" t="n">
        <f aca="false">$B$17</f>
        <v>400</v>
      </c>
      <c r="D79" s="21" t="n">
        <f aca="false">C79*(1+Scenarios!$D$4)</f>
        <v>428</v>
      </c>
      <c r="E79" s="21" t="n">
        <f aca="false">D79*(1+Scenarios!$D$4)</f>
        <v>457.96</v>
      </c>
      <c r="F79" s="21" t="n">
        <f aca="false">E79*(1+Scenarios!$D$4)</f>
        <v>490.0172</v>
      </c>
      <c r="G79" s="21" t="n">
        <f aca="false">F79*(1+Scenarios!$D$4)</f>
        <v>524.318404</v>
      </c>
      <c r="H79" s="21" t="n">
        <f aca="false">G79*(1+Scenarios!$D$4)</f>
        <v>561.02069228</v>
      </c>
      <c r="I79" s="21" t="n">
        <f aca="false">H79*(1+Scenarios!$D$4)</f>
        <v>600.2921407396</v>
      </c>
      <c r="J79" s="21" t="n">
        <f aca="false">I79*(1+Scenarios!$D$4)</f>
        <v>642.312590591372</v>
      </c>
      <c r="K79" s="21" t="n">
        <f aca="false">J79*(1+Scenarios!$D$4)</f>
        <v>687.274471932768</v>
      </c>
      <c r="L79" s="21" t="n">
        <f aca="false">K79*(1+Scenarios!$D$4)</f>
        <v>735.383684968062</v>
      </c>
      <c r="M79" s="21" t="n">
        <f aca="false">L79*(1+Scenarios!$D$4)</f>
        <v>786.860542915827</v>
      </c>
      <c r="N79" s="21" t="n">
        <f aca="false">M79*(1+Scenarios!$D$4)</f>
        <v>841.940780919934</v>
      </c>
      <c r="O79" s="21" t="n">
        <f aca="false">N79*(1+Scenarios!$D$4)</f>
        <v>900.87663558433</v>
      </c>
      <c r="P79" s="21" t="n">
        <f aca="false">O79*(1+Scenarios!$D$4)</f>
        <v>963.938000075233</v>
      </c>
      <c r="Q79" s="21" t="n">
        <f aca="false">P79*(1+Scenarios!$D$4)</f>
        <v>1031.4136600805</v>
      </c>
    </row>
    <row r="80" customFormat="false" ht="15" hidden="false" customHeight="false" outlineLevel="0" collapsed="false">
      <c r="A80" s="2" t="s">
        <v>104</v>
      </c>
      <c r="C80" s="22" t="n">
        <f aca="false">$B$7</f>
        <v>210000</v>
      </c>
      <c r="D80" s="22" t="n">
        <f aca="false">C80*(1+$B$8*Scenarios!$D$5)</f>
        <v>216300</v>
      </c>
      <c r="E80" s="22" t="n">
        <f aca="false">D80*(1+$B$8*Scenarios!$D$5)</f>
        <v>222789</v>
      </c>
      <c r="F80" s="22" t="n">
        <f aca="false">E80*(1+$B$8*Scenarios!$D$5)</f>
        <v>229472.67</v>
      </c>
      <c r="G80" s="22" t="n">
        <f aca="false">F80*(1+$B$8*Scenarios!$D$5)</f>
        <v>236356.8501</v>
      </c>
      <c r="H80" s="22" t="n">
        <f aca="false">G80*(1+$B$8*Scenarios!$D$5)</f>
        <v>243447.555603</v>
      </c>
      <c r="I80" s="22" t="n">
        <f aca="false">H80*(1+$B$8*Scenarios!$D$5)</f>
        <v>250750.98227109</v>
      </c>
      <c r="J80" s="22" t="n">
        <f aca="false">I80*(1+$B$8*Scenarios!$D$5)</f>
        <v>258273.511739223</v>
      </c>
      <c r="K80" s="22" t="n">
        <f aca="false">J80*(1+$B$8*Scenarios!$D$5)</f>
        <v>266021.717091399</v>
      </c>
      <c r="L80" s="22" t="n">
        <f aca="false">K80*(1+$B$8*Scenarios!$D$5)</f>
        <v>274002.368604141</v>
      </c>
      <c r="M80" s="22" t="n">
        <f aca="false">L80*(1+$B$8*Scenarios!$D$5)</f>
        <v>282222.439662266</v>
      </c>
      <c r="N80" s="22" t="n">
        <f aca="false">M80*(1+$B$8*Scenarios!$D$5)</f>
        <v>290689.112852134</v>
      </c>
      <c r="O80" s="22" t="n">
        <f aca="false">N80*(1+$B$8*Scenarios!$D$5)</f>
        <v>299409.786237698</v>
      </c>
      <c r="P80" s="22" t="n">
        <f aca="false">O80*(1+$B$8*Scenarios!$D$5)</f>
        <v>308392.079824829</v>
      </c>
      <c r="Q80" s="22" t="n">
        <f aca="false">P80*(1+$B$8*Scenarios!$D$5)</f>
        <v>317643.842219573</v>
      </c>
    </row>
    <row r="81" customFormat="false" ht="15" hidden="false" customHeight="false" outlineLevel="0" collapsed="false">
      <c r="A81" s="2" t="s">
        <v>105</v>
      </c>
      <c r="C81" s="22" t="n">
        <f aca="false">IF($B$10="Prior",0,C80)</f>
        <v>210000</v>
      </c>
      <c r="D81" s="22" t="n">
        <f aca="false">IF($B$10="Prior",C80,D80)</f>
        <v>216300</v>
      </c>
      <c r="E81" s="22" t="n">
        <f aca="false">IF($B$10="Prior",D80,E80)</f>
        <v>222789</v>
      </c>
      <c r="F81" s="22" t="n">
        <f aca="false">IF($B$10="Prior",E80,F80)</f>
        <v>229472.67</v>
      </c>
      <c r="G81" s="22" t="n">
        <f aca="false">IF($B$10="Prior",F80,G80)</f>
        <v>236356.8501</v>
      </c>
      <c r="H81" s="22" t="n">
        <f aca="false">IF($B$10="Prior",G80,H80)</f>
        <v>243447.555603</v>
      </c>
      <c r="I81" s="22" t="n">
        <f aca="false">IF($B$10="Prior",H80,I80)</f>
        <v>250750.98227109</v>
      </c>
      <c r="J81" s="22" t="n">
        <f aca="false">IF($B$10="Prior",I80,J80)</f>
        <v>258273.511739223</v>
      </c>
      <c r="K81" s="22" t="n">
        <f aca="false">IF($B$10="Prior",J80,K80)</f>
        <v>266021.717091399</v>
      </c>
      <c r="L81" s="22" t="n">
        <f aca="false">IF($B$10="Prior",K80,L80)</f>
        <v>274002.368604141</v>
      </c>
      <c r="M81" s="22" t="n">
        <f aca="false">IF($B$10="Prior",L80,M80)</f>
        <v>282222.439662266</v>
      </c>
      <c r="N81" s="22" t="n">
        <f aca="false">IF($B$10="Prior",M80,N80)</f>
        <v>290689.112852134</v>
      </c>
      <c r="O81" s="22" t="n">
        <f aca="false">IF($B$10="Prior",N80,O80)</f>
        <v>299409.786237698</v>
      </c>
      <c r="P81" s="22" t="n">
        <f aca="false">IF($B$10="Prior",O80,P80)</f>
        <v>308392.079824829</v>
      </c>
      <c r="Q81" s="22" t="n">
        <f aca="false">IF($B$10="Prior",P80,Q80)</f>
        <v>317643.842219573</v>
      </c>
    </row>
    <row r="82" customFormat="false" ht="15" hidden="false" customHeight="false" outlineLevel="0" collapsed="false">
      <c r="A82" s="2" t="s">
        <v>106</v>
      </c>
      <c r="C82" s="22" t="n">
        <f aca="false">IF($B$11="No",0,C81*$B$9*Scenarios!$D$6)</f>
        <v>0</v>
      </c>
      <c r="D82" s="22" t="n">
        <f aca="false">D81*$B$9*Scenarios!$D$6</f>
        <v>43260</v>
      </c>
      <c r="E82" s="22" t="n">
        <f aca="false">E81*$B$9*Scenarios!$D$6</f>
        <v>44557.8</v>
      </c>
      <c r="F82" s="22" t="n">
        <f aca="false">F81*$B$9*Scenarios!$D$6</f>
        <v>45894.534</v>
      </c>
      <c r="G82" s="22" t="n">
        <f aca="false">G81*$B$9*Scenarios!$D$6</f>
        <v>47271.37002</v>
      </c>
      <c r="H82" s="22" t="n">
        <f aca="false">H81*$B$9*Scenarios!$D$6</f>
        <v>48689.5111206</v>
      </c>
      <c r="I82" s="22" t="n">
        <f aca="false">I81*$B$9*Scenarios!$D$6</f>
        <v>50150.196454218</v>
      </c>
      <c r="J82" s="22" t="n">
        <f aca="false">J81*$B$9*Scenarios!$D$6</f>
        <v>51654.7023478446</v>
      </c>
      <c r="K82" s="22" t="n">
        <f aca="false">K81*$B$9*Scenarios!$D$6</f>
        <v>53204.3434182799</v>
      </c>
      <c r="L82" s="22" t="n">
        <f aca="false">L81*$B$9*Scenarios!$D$6</f>
        <v>54800.4737208283</v>
      </c>
      <c r="M82" s="22" t="n">
        <f aca="false">M81*$B$9*Scenarios!$D$6</f>
        <v>56444.4879324531</v>
      </c>
      <c r="N82" s="22" t="n">
        <f aca="false">N81*$B$9*Scenarios!$D$6</f>
        <v>58137.8225704267</v>
      </c>
      <c r="O82" s="22" t="n">
        <f aca="false">O81*$B$9*Scenarios!$D$6</f>
        <v>59881.9572475395</v>
      </c>
      <c r="P82" s="22" t="n">
        <f aca="false">P81*$B$9*Scenarios!$D$6</f>
        <v>61678.4159649657</v>
      </c>
      <c r="Q82" s="22" t="n">
        <f aca="false">Q81*$B$9*Scenarios!$D$6</f>
        <v>63528.7684439147</v>
      </c>
    </row>
    <row r="83" customFormat="false" ht="15" hidden="false" customHeight="false" outlineLevel="0" collapsed="false">
      <c r="A83" s="2" t="s">
        <v>107</v>
      </c>
      <c r="C83" s="22" t="n">
        <f aca="false">$B$12*$B$13</f>
        <v>37500</v>
      </c>
      <c r="D83" s="22" t="n">
        <f aca="false">$B$12*$B$14</f>
        <v>37500</v>
      </c>
      <c r="E83" s="22" t="n">
        <f aca="false">$B$12*$B$15</f>
        <v>0</v>
      </c>
      <c r="F83" s="22" t="n">
        <v>0</v>
      </c>
      <c r="G83" s="22" t="n">
        <v>0</v>
      </c>
      <c r="H83" s="22" t="n">
        <v>0</v>
      </c>
      <c r="I83" s="22" t="n">
        <v>0</v>
      </c>
      <c r="J83" s="22" t="n">
        <v>0</v>
      </c>
      <c r="K83" s="22" t="n">
        <v>0</v>
      </c>
      <c r="L83" s="22" t="n">
        <v>0</v>
      </c>
      <c r="M83" s="22" t="n">
        <v>0</v>
      </c>
      <c r="N83" s="22" t="n">
        <v>0</v>
      </c>
      <c r="O83" s="22" t="n">
        <v>0</v>
      </c>
      <c r="P83" s="22" t="n">
        <v>0</v>
      </c>
      <c r="Q83" s="22" t="n">
        <v>0</v>
      </c>
    </row>
    <row r="85" customFormat="false" ht="15" hidden="false" customHeight="false" outlineLevel="0" collapsed="false">
      <c r="A85" s="3" t="s">
        <v>108</v>
      </c>
      <c r="S85" s="7" t="s">
        <v>109</v>
      </c>
      <c r="T85" s="7" t="s">
        <v>110</v>
      </c>
      <c r="U85" s="7" t="s">
        <v>111</v>
      </c>
      <c r="V85" s="7" t="s">
        <v>112</v>
      </c>
      <c r="W85" s="7" t="s">
        <v>113</v>
      </c>
    </row>
    <row r="86" customFormat="false" ht="15" hidden="false" customHeight="false" outlineLevel="0" collapsed="false">
      <c r="A86" s="2" t="s">
        <v>97</v>
      </c>
      <c r="C86" s="22" t="n">
        <f aca="false">IF(AND(C$78-$S86+1-$B$22&gt;=1,C$78-$S86+1-$B$22&lt;=8),INDEX($C$26:$J$26,1,C$78-$S86+1-$B$22),0)*$U86*C$79</f>
        <v>0</v>
      </c>
      <c r="D86" s="22" t="n">
        <f aca="false">IF(AND(D$78-$S86+1-$B$22&gt;=1,D$78-$S86+1-$B$22&lt;=8),INDEX($C$26:$J$26,1,D$78-$S86+1-$B$22),0)*$U86*D$79</f>
        <v>93625</v>
      </c>
      <c r="E86" s="22" t="n">
        <f aca="false">IF(AND(E$78-$S86+1-$B$22&gt;=1,E$78-$S86+1-$B$22&lt;=8),INDEX($C$26:$J$26,1,E$78-$S86+1-$B$22),0)*$U86*E$79</f>
        <v>100178.75</v>
      </c>
      <c r="F86" s="22" t="n">
        <f aca="false">IF(AND(F$78-$S86+1-$B$22&gt;=1,F$78-$S86+1-$B$22&lt;=8),INDEX($C$26:$J$26,1,F$78-$S86+1-$B$22),0)*$U86*F$79</f>
        <v>107191.2625</v>
      </c>
      <c r="G86" s="22" t="n">
        <f aca="false">IF(AND(G$78-$S86+1-$B$22&gt;=1,G$78-$S86+1-$B$22&lt;=8),INDEX($C$26:$J$26,1,G$78-$S86+1-$B$22),0)*$U86*G$79</f>
        <v>114694.650875</v>
      </c>
      <c r="H86" s="22" t="n">
        <f aca="false">IF(AND(H$78-$S86+1-$B$22&gt;=1,H$78-$S86+1-$B$22&lt;=8),INDEX($C$26:$J$26,1,H$78-$S86+1-$B$22),0)*$U86*H$79</f>
        <v>0</v>
      </c>
      <c r="I86" s="22" t="n">
        <f aca="false">IF(AND(I$78-$S86+1-$B$22&gt;=1,I$78-$S86+1-$B$22&lt;=8),INDEX($C$26:$J$26,1,I$78-$S86+1-$B$22),0)*$U86*I$79</f>
        <v>0</v>
      </c>
      <c r="J86" s="22" t="n">
        <f aca="false">IF(AND(J$78-$S86+1-$B$22&gt;=1,J$78-$S86+1-$B$22&lt;=8),INDEX($C$26:$J$26,1,J$78-$S86+1-$B$22),0)*$U86*J$79</f>
        <v>0</v>
      </c>
      <c r="K86" s="22" t="n">
        <f aca="false">IF(AND(K$78-$S86+1-$B$22&gt;=1,K$78-$S86+1-$B$22&lt;=8),INDEX($C$26:$J$26,1,K$78-$S86+1-$B$22),0)*$U86*K$79</f>
        <v>0</v>
      </c>
      <c r="L86" s="22" t="n">
        <f aca="false">IF(AND(L$78-$S86+1-$B$22&gt;=1,L$78-$S86+1-$B$22&lt;=8),INDEX($C$26:$J$26,1,L$78-$S86+1-$B$22),0)*$U86*L$79</f>
        <v>0</v>
      </c>
      <c r="M86" s="22" t="n">
        <f aca="false">IF(AND(M$78-$S86+1-$B$22&gt;=1,M$78-$S86+1-$B$22&lt;=8),INDEX($C$26:$J$26,1,M$78-$S86+1-$B$22),0)*$U86*M$79</f>
        <v>0</v>
      </c>
      <c r="N86" s="22" t="n">
        <f aca="false">IF(AND(N$78-$S86+1-$B$22&gt;=1,N$78-$S86+1-$B$22&lt;=8),INDEX($C$26:$J$26,1,N$78-$S86+1-$B$22),0)*$U86*N$79</f>
        <v>0</v>
      </c>
      <c r="O86" s="22" t="n">
        <f aca="false">IF(AND(O$78-$S86+1-$B$22&gt;=1,O$78-$S86+1-$B$22&lt;=8),INDEX($C$26:$J$26,1,O$78-$S86+1-$B$22),0)*$U86*O$79</f>
        <v>0</v>
      </c>
      <c r="P86" s="22" t="n">
        <f aca="false">IF(AND(P$78-$S86+1-$B$22&gt;=1,P$78-$S86+1-$B$22&lt;=8),INDEX($C$26:$J$26,1,P$78-$S86+1-$B$22),0)*$U86*P$79</f>
        <v>0</v>
      </c>
      <c r="Q86" s="22" t="n">
        <f aca="false">IF(AND(Q$78-$S86+1-$B$22&gt;=1,Q$78-$S86+1-$B$22&lt;=8),INDEX($C$26:$J$26,1,Q$78-$S86+1-$B$22),0)*$U86*Q$79</f>
        <v>0</v>
      </c>
      <c r="S86" s="23" t="n">
        <f aca="false">$B$6</f>
        <v>2026</v>
      </c>
      <c r="T86" s="22" t="n">
        <f aca="false">$B$18</f>
        <v>350000</v>
      </c>
      <c r="U86" s="24" t="n">
        <f aca="false">IFERROR(T86/$B$17,0)</f>
        <v>875</v>
      </c>
      <c r="V86" s="24" t="n">
        <f aca="false">SUMPRODUCT(($C$25:$J$25&lt;=$Q$78-$S86+1-$B$22)*$C$26:$J$26)*$U86</f>
        <v>875</v>
      </c>
      <c r="W86" s="24" t="n">
        <f aca="false">$U86-$V86</f>
        <v>0</v>
      </c>
    </row>
    <row r="87" customFormat="false" ht="15" hidden="false" customHeight="false" outlineLevel="0" collapsed="false">
      <c r="A87" s="2" t="s">
        <v>114</v>
      </c>
      <c r="C87" s="22" t="n">
        <f aca="false">IF(AND(C$78-$S87+1-$B$22&gt;=1,C$78-$S87+1-$B$22&lt;=8),INDEX($C$27:$J$27,1,C$78-$S87+1-$B$22),0)*$U87*C$79</f>
        <v>0</v>
      </c>
      <c r="D87" s="22" t="n">
        <f aca="false">IF(AND(D$78-$S87+1-$B$22&gt;=1,D$78-$S87+1-$B$22&lt;=8),INDEX($C$27:$J$27,1,D$78-$S87+1-$B$22),0)*$U87*D$79</f>
        <v>0</v>
      </c>
      <c r="E87" s="22" t="n">
        <f aca="false">IF(AND(E$78-$S87+1-$B$22&gt;=1,E$78-$S87+1-$B$22&lt;=8),INDEX($C$27:$J$27,1,E$78-$S87+1-$B$22),0)*$U87*E$79</f>
        <v>32100</v>
      </c>
      <c r="F87" s="22" t="n">
        <f aca="false">IF(AND(F$78-$S87+1-$B$22&gt;=1,F$78-$S87+1-$B$22&lt;=8),INDEX($C$27:$J$27,1,F$78-$S87+1-$B$22),0)*$U87*F$79</f>
        <v>34347</v>
      </c>
      <c r="G87" s="22" t="n">
        <f aca="false">IF(AND(G$78-$S87+1-$B$22&gt;=1,G$78-$S87+1-$B$22&lt;=8),INDEX($C$27:$J$27,1,G$78-$S87+1-$B$22),0)*$U87*G$79</f>
        <v>36751.29</v>
      </c>
      <c r="H87" s="22" t="n">
        <f aca="false">IF(AND(H$78-$S87+1-$B$22&gt;=1,H$78-$S87+1-$B$22&lt;=8),INDEX($C$27:$J$27,1,H$78-$S87+1-$B$22),0)*$U87*H$79</f>
        <v>39323.8803</v>
      </c>
      <c r="I87" s="22" t="n">
        <f aca="false">IF(AND(I$78-$S87+1-$B$22&gt;=1,I$78-$S87+1-$B$22&lt;=8),INDEX($C$27:$J$27,1,I$78-$S87+1-$B$22),0)*$U87*I$79</f>
        <v>0</v>
      </c>
      <c r="J87" s="22" t="n">
        <f aca="false">IF(AND(J$78-$S87+1-$B$22&gt;=1,J$78-$S87+1-$B$22&lt;=8),INDEX($C$27:$J$27,1,J$78-$S87+1-$B$22),0)*$U87*J$79</f>
        <v>0</v>
      </c>
      <c r="K87" s="22" t="n">
        <f aca="false">IF(AND(K$78-$S87+1-$B$22&gt;=1,K$78-$S87+1-$B$22&lt;=8),INDEX($C$27:$J$27,1,K$78-$S87+1-$B$22),0)*$U87*K$79</f>
        <v>0</v>
      </c>
      <c r="L87" s="22" t="n">
        <f aca="false">IF(AND(L$78-$S87+1-$B$22&gt;=1,L$78-$S87+1-$B$22&lt;=8),INDEX($C$27:$J$27,1,L$78-$S87+1-$B$22),0)*$U87*L$79</f>
        <v>0</v>
      </c>
      <c r="M87" s="22" t="n">
        <f aca="false">IF(AND(M$78-$S87+1-$B$22&gt;=1,M$78-$S87+1-$B$22&lt;=8),INDEX($C$27:$J$27,1,M$78-$S87+1-$B$22),0)*$U87*M$79</f>
        <v>0</v>
      </c>
      <c r="N87" s="22" t="n">
        <f aca="false">IF(AND(N$78-$S87+1-$B$22&gt;=1,N$78-$S87+1-$B$22&lt;=8),INDEX($C$27:$J$27,1,N$78-$S87+1-$B$22),0)*$U87*N$79</f>
        <v>0</v>
      </c>
      <c r="O87" s="22" t="n">
        <f aca="false">IF(AND(O$78-$S87+1-$B$22&gt;=1,O$78-$S87+1-$B$22&lt;=8),INDEX($C$27:$J$27,1,O$78-$S87+1-$B$22),0)*$U87*O$79</f>
        <v>0</v>
      </c>
      <c r="P87" s="22" t="n">
        <f aca="false">IF(AND(P$78-$S87+1-$B$22&gt;=1,P$78-$S87+1-$B$22&lt;=8),INDEX($C$27:$J$27,1,P$78-$S87+1-$B$22),0)*$U87*P$79</f>
        <v>0</v>
      </c>
      <c r="Q87" s="22" t="n">
        <f aca="false">IF(AND(Q$78-$S87+1-$B$22&gt;=1,Q$78-$S87+1-$B$22&lt;=8),INDEX($C$27:$J$27,1,Q$78-$S87+1-$B$22),0)*$U87*Q$79</f>
        <v>0</v>
      </c>
      <c r="S87" s="23" t="n">
        <f aca="false">$B$20+0</f>
        <v>2027</v>
      </c>
      <c r="T87" s="22" t="n">
        <f aca="false">IF($S87&gt;$B$20+Scenarios!$D$8-1,0,$B$19*(1+$B$21*Scenarios!$D$7)^0)</f>
        <v>120000</v>
      </c>
      <c r="U87" s="24" t="n">
        <f aca="false">IFERROR($T87/INDEX($C$79:$Q$79,1,MATCH($S87,$C$78:$Q$78,0)),0)</f>
        <v>280.373831775701</v>
      </c>
      <c r="V87" s="24" t="n">
        <f aca="false">SUMPRODUCT(($C$25:$J$25&lt;=$Q$78-$S87+1-$B$22)*$C$27:$J$27)*$U87</f>
        <v>280.373831775701</v>
      </c>
      <c r="W87" s="24" t="n">
        <f aca="false">$U87-$V87</f>
        <v>0</v>
      </c>
    </row>
    <row r="88" customFormat="false" ht="15" hidden="false" customHeight="false" outlineLevel="0" collapsed="false">
      <c r="A88" s="2" t="s">
        <v>115</v>
      </c>
      <c r="C88" s="22" t="n">
        <f aca="false">IF(AND(C$78-$S88+1-$B$22&gt;=1,C$78-$S88+1-$B$22&lt;=8),INDEX($C$27:$J$27,1,C$78-$S88+1-$B$22),0)*$U88*C$79</f>
        <v>0</v>
      </c>
      <c r="D88" s="22" t="n">
        <f aca="false">IF(AND(D$78-$S88+1-$B$22&gt;=1,D$78-$S88+1-$B$22&lt;=8),INDEX($C$27:$J$27,1,D$78-$S88+1-$B$22),0)*$U88*D$79</f>
        <v>0</v>
      </c>
      <c r="E88" s="22" t="n">
        <f aca="false">IF(AND(E$78-$S88+1-$B$22&gt;=1,E$78-$S88+1-$B$22&lt;=8),INDEX($C$27:$J$27,1,E$78-$S88+1-$B$22),0)*$U88*E$79</f>
        <v>0</v>
      </c>
      <c r="F88" s="22" t="n">
        <f aca="false">IF(AND(F$78-$S88+1-$B$22&gt;=1,F$78-$S88+1-$B$22&lt;=8),INDEX($C$27:$J$27,1,F$78-$S88+1-$B$22),0)*$U88*F$79</f>
        <v>33063</v>
      </c>
      <c r="G88" s="22" t="n">
        <f aca="false">IF(AND(G$78-$S88+1-$B$22&gt;=1,G$78-$S88+1-$B$22&lt;=8),INDEX($C$27:$J$27,1,G$78-$S88+1-$B$22),0)*$U88*G$79</f>
        <v>35377.41</v>
      </c>
      <c r="H88" s="22" t="n">
        <f aca="false">IF(AND(H$78-$S88+1-$B$22&gt;=1,H$78-$S88+1-$B$22&lt;=8),INDEX($C$27:$J$27,1,H$78-$S88+1-$B$22),0)*$U88*H$79</f>
        <v>37853.8287</v>
      </c>
      <c r="I88" s="22" t="n">
        <f aca="false">IF(AND(I$78-$S88+1-$B$22&gt;=1,I$78-$S88+1-$B$22&lt;=8),INDEX($C$27:$J$27,1,I$78-$S88+1-$B$22),0)*$U88*I$79</f>
        <v>40503.596709</v>
      </c>
      <c r="J88" s="22" t="n">
        <f aca="false">IF(AND(J$78-$S88+1-$B$22&gt;=1,J$78-$S88+1-$B$22&lt;=8),INDEX($C$27:$J$27,1,J$78-$S88+1-$B$22),0)*$U88*J$79</f>
        <v>0</v>
      </c>
      <c r="K88" s="22" t="n">
        <f aca="false">IF(AND(K$78-$S88+1-$B$22&gt;=1,K$78-$S88+1-$B$22&lt;=8),INDEX($C$27:$J$27,1,K$78-$S88+1-$B$22),0)*$U88*K$79</f>
        <v>0</v>
      </c>
      <c r="L88" s="22" t="n">
        <f aca="false">IF(AND(L$78-$S88+1-$B$22&gt;=1,L$78-$S88+1-$B$22&lt;=8),INDEX($C$27:$J$27,1,L$78-$S88+1-$B$22),0)*$U88*L$79</f>
        <v>0</v>
      </c>
      <c r="M88" s="22" t="n">
        <f aca="false">IF(AND(M$78-$S88+1-$B$22&gt;=1,M$78-$S88+1-$B$22&lt;=8),INDEX($C$27:$J$27,1,M$78-$S88+1-$B$22),0)*$U88*M$79</f>
        <v>0</v>
      </c>
      <c r="N88" s="22" t="n">
        <f aca="false">IF(AND(N$78-$S88+1-$B$22&gt;=1,N$78-$S88+1-$B$22&lt;=8),INDEX($C$27:$J$27,1,N$78-$S88+1-$B$22),0)*$U88*N$79</f>
        <v>0</v>
      </c>
      <c r="O88" s="22" t="n">
        <f aca="false">IF(AND(O$78-$S88+1-$B$22&gt;=1,O$78-$S88+1-$B$22&lt;=8),INDEX($C$27:$J$27,1,O$78-$S88+1-$B$22),0)*$U88*O$79</f>
        <v>0</v>
      </c>
      <c r="P88" s="22" t="n">
        <f aca="false">IF(AND(P$78-$S88+1-$B$22&gt;=1,P$78-$S88+1-$B$22&lt;=8),INDEX($C$27:$J$27,1,P$78-$S88+1-$B$22),0)*$U88*P$79</f>
        <v>0</v>
      </c>
      <c r="Q88" s="22" t="n">
        <f aca="false">IF(AND(Q$78-$S88+1-$B$22&gt;=1,Q$78-$S88+1-$B$22&lt;=8),INDEX($C$27:$J$27,1,Q$78-$S88+1-$B$22),0)*$U88*Q$79</f>
        <v>0</v>
      </c>
      <c r="S88" s="23" t="n">
        <f aca="false">$B$20+1</f>
        <v>2028</v>
      </c>
      <c r="T88" s="22" t="n">
        <f aca="false">IF($S88&gt;$B$20+Scenarios!$D$8-1,0,$B$19*(1+$B$21*Scenarios!$D$7)^1)</f>
        <v>123600</v>
      </c>
      <c r="U88" s="24" t="n">
        <f aca="false">IFERROR($T88/INDEX($C$79:$Q$79,1,MATCH($S88,$C$78:$Q$78,0)),0)</f>
        <v>269.892567036422</v>
      </c>
      <c r="V88" s="24" t="n">
        <f aca="false">SUMPRODUCT(($C$25:$J$25&lt;=$Q$78-$S88+1-$B$22)*$C$27:$J$27)*$U88</f>
        <v>269.892567036422</v>
      </c>
      <c r="W88" s="24" t="n">
        <f aca="false">$U88-$V88</f>
        <v>0</v>
      </c>
    </row>
    <row r="89" customFormat="false" ht="15" hidden="false" customHeight="false" outlineLevel="0" collapsed="false">
      <c r="A89" s="2" t="s">
        <v>116</v>
      </c>
      <c r="C89" s="22" t="n">
        <f aca="false">IF(AND(C$78-$S89+1-$B$22&gt;=1,C$78-$S89+1-$B$22&lt;=8),INDEX($C$27:$J$27,1,C$78-$S89+1-$B$22),0)*$U89*C$79</f>
        <v>0</v>
      </c>
      <c r="D89" s="22" t="n">
        <f aca="false">IF(AND(D$78-$S89+1-$B$22&gt;=1,D$78-$S89+1-$B$22&lt;=8),INDEX($C$27:$J$27,1,D$78-$S89+1-$B$22),0)*$U89*D$79</f>
        <v>0</v>
      </c>
      <c r="E89" s="22" t="n">
        <f aca="false">IF(AND(E$78-$S89+1-$B$22&gt;=1,E$78-$S89+1-$B$22&lt;=8),INDEX($C$27:$J$27,1,E$78-$S89+1-$B$22),0)*$U89*E$79</f>
        <v>0</v>
      </c>
      <c r="F89" s="22" t="n">
        <f aca="false">IF(AND(F$78-$S89+1-$B$22&gt;=1,F$78-$S89+1-$B$22&lt;=8),INDEX($C$27:$J$27,1,F$78-$S89+1-$B$22),0)*$U89*F$79</f>
        <v>0</v>
      </c>
      <c r="G89" s="22" t="n">
        <f aca="false">IF(AND(G$78-$S89+1-$B$22&gt;=1,G$78-$S89+1-$B$22&lt;=8),INDEX($C$27:$J$27,1,G$78-$S89+1-$B$22),0)*$U89*G$79</f>
        <v>34054.89</v>
      </c>
      <c r="H89" s="22" t="n">
        <f aca="false">IF(AND(H$78-$S89+1-$B$22&gt;=1,H$78-$S89+1-$B$22&lt;=8),INDEX($C$27:$J$27,1,H$78-$S89+1-$B$22),0)*$U89*H$79</f>
        <v>36438.7323</v>
      </c>
      <c r="I89" s="22" t="n">
        <f aca="false">IF(AND(I$78-$S89+1-$B$22&gt;=1,I$78-$S89+1-$B$22&lt;=8),INDEX($C$27:$J$27,1,I$78-$S89+1-$B$22),0)*$U89*I$79</f>
        <v>38989.443561</v>
      </c>
      <c r="J89" s="22" t="n">
        <f aca="false">IF(AND(J$78-$S89+1-$B$22&gt;=1,J$78-$S89+1-$B$22&lt;=8),INDEX($C$27:$J$27,1,J$78-$S89+1-$B$22),0)*$U89*J$79</f>
        <v>41718.70461027</v>
      </c>
      <c r="K89" s="22" t="n">
        <f aca="false">IF(AND(K$78-$S89+1-$B$22&gt;=1,K$78-$S89+1-$B$22&lt;=8),INDEX($C$27:$J$27,1,K$78-$S89+1-$B$22),0)*$U89*K$79</f>
        <v>0</v>
      </c>
      <c r="L89" s="22" t="n">
        <f aca="false">IF(AND(L$78-$S89+1-$B$22&gt;=1,L$78-$S89+1-$B$22&lt;=8),INDEX($C$27:$J$27,1,L$78-$S89+1-$B$22),0)*$U89*L$79</f>
        <v>0</v>
      </c>
      <c r="M89" s="22" t="n">
        <f aca="false">IF(AND(M$78-$S89+1-$B$22&gt;=1,M$78-$S89+1-$B$22&lt;=8),INDEX($C$27:$J$27,1,M$78-$S89+1-$B$22),0)*$U89*M$79</f>
        <v>0</v>
      </c>
      <c r="N89" s="22" t="n">
        <f aca="false">IF(AND(N$78-$S89+1-$B$22&gt;=1,N$78-$S89+1-$B$22&lt;=8),INDEX($C$27:$J$27,1,N$78-$S89+1-$B$22),0)*$U89*N$79</f>
        <v>0</v>
      </c>
      <c r="O89" s="22" t="n">
        <f aca="false">IF(AND(O$78-$S89+1-$B$22&gt;=1,O$78-$S89+1-$B$22&lt;=8),INDEX($C$27:$J$27,1,O$78-$S89+1-$B$22),0)*$U89*O$79</f>
        <v>0</v>
      </c>
      <c r="P89" s="22" t="n">
        <f aca="false">IF(AND(P$78-$S89+1-$B$22&gt;=1,P$78-$S89+1-$B$22&lt;=8),INDEX($C$27:$J$27,1,P$78-$S89+1-$B$22),0)*$U89*P$79</f>
        <v>0</v>
      </c>
      <c r="Q89" s="22" t="n">
        <f aca="false">IF(AND(Q$78-$S89+1-$B$22&gt;=1,Q$78-$S89+1-$B$22&lt;=8),INDEX($C$27:$J$27,1,Q$78-$S89+1-$B$22),0)*$U89*Q$79</f>
        <v>0</v>
      </c>
      <c r="S89" s="23" t="n">
        <f aca="false">$B$20+2</f>
        <v>2029</v>
      </c>
      <c r="T89" s="22" t="n">
        <f aca="false">IF($S89&gt;$B$20+Scenarios!$D$8-1,0,$B$19*(1+$B$21*Scenarios!$D$7)^2)</f>
        <v>127308</v>
      </c>
      <c r="U89" s="24" t="n">
        <f aca="false">IFERROR($T89/INDEX($C$79:$Q$79,1,MATCH($S89,$C$78:$Q$78,0)),0)</f>
        <v>259.803125278051</v>
      </c>
      <c r="V89" s="24" t="n">
        <f aca="false">SUMPRODUCT(($C$25:$J$25&lt;=$Q$78-$S89+1-$B$22)*$C$27:$J$27)*$U89</f>
        <v>259.803125278051</v>
      </c>
      <c r="W89" s="24" t="n">
        <f aca="false">$U89-$V89</f>
        <v>0</v>
      </c>
    </row>
    <row r="90" customFormat="false" ht="15" hidden="false" customHeight="false" outlineLevel="0" collapsed="false">
      <c r="A90" s="2" t="s">
        <v>117</v>
      </c>
      <c r="C90" s="22" t="n">
        <f aca="false">IF(AND(C$78-$S90+1-$B$22&gt;=1,C$78-$S90+1-$B$22&lt;=8),INDEX($C$27:$J$27,1,C$78-$S90+1-$B$22),0)*$U90*C$79</f>
        <v>0</v>
      </c>
      <c r="D90" s="22" t="n">
        <f aca="false">IF(AND(D$78-$S90+1-$B$22&gt;=1,D$78-$S90+1-$B$22&lt;=8),INDEX($C$27:$J$27,1,D$78-$S90+1-$B$22),0)*$U90*D$79</f>
        <v>0</v>
      </c>
      <c r="E90" s="22" t="n">
        <f aca="false">IF(AND(E$78-$S90+1-$B$22&gt;=1,E$78-$S90+1-$B$22&lt;=8),INDEX($C$27:$J$27,1,E$78-$S90+1-$B$22),0)*$U90*E$79</f>
        <v>0</v>
      </c>
      <c r="F90" s="22" t="n">
        <f aca="false">IF(AND(F$78-$S90+1-$B$22&gt;=1,F$78-$S90+1-$B$22&lt;=8),INDEX($C$27:$J$27,1,F$78-$S90+1-$B$22),0)*$U90*F$79</f>
        <v>0</v>
      </c>
      <c r="G90" s="22" t="n">
        <f aca="false">IF(AND(G$78-$S90+1-$B$22&gt;=1,G$78-$S90+1-$B$22&lt;=8),INDEX($C$27:$J$27,1,G$78-$S90+1-$B$22),0)*$U90*G$79</f>
        <v>0</v>
      </c>
      <c r="H90" s="22" t="n">
        <f aca="false">IF(AND(H$78-$S90+1-$B$22&gt;=1,H$78-$S90+1-$B$22&lt;=8),INDEX($C$27:$J$27,1,H$78-$S90+1-$B$22),0)*$U90*H$79</f>
        <v>35076.5367</v>
      </c>
      <c r="I90" s="22" t="n">
        <f aca="false">IF(AND(I$78-$S90+1-$B$22&gt;=1,I$78-$S90+1-$B$22&lt;=8),INDEX($C$27:$J$27,1,I$78-$S90+1-$B$22),0)*$U90*I$79</f>
        <v>37531.894269</v>
      </c>
      <c r="J90" s="22" t="n">
        <f aca="false">IF(AND(J$78-$S90+1-$B$22&gt;=1,J$78-$S90+1-$B$22&lt;=8),INDEX($C$27:$J$27,1,J$78-$S90+1-$B$22),0)*$U90*J$79</f>
        <v>40159.12686783</v>
      </c>
      <c r="K90" s="22" t="n">
        <f aca="false">IF(AND(K$78-$S90+1-$B$22&gt;=1,K$78-$S90+1-$B$22&lt;=8),INDEX($C$27:$J$27,1,K$78-$S90+1-$B$22),0)*$U90*K$79</f>
        <v>42970.2657485781</v>
      </c>
      <c r="L90" s="22" t="n">
        <f aca="false">IF(AND(L$78-$S90+1-$B$22&gt;=1,L$78-$S90+1-$B$22&lt;=8),INDEX($C$27:$J$27,1,L$78-$S90+1-$B$22),0)*$U90*L$79</f>
        <v>0</v>
      </c>
      <c r="M90" s="22" t="n">
        <f aca="false">IF(AND(M$78-$S90+1-$B$22&gt;=1,M$78-$S90+1-$B$22&lt;=8),INDEX($C$27:$J$27,1,M$78-$S90+1-$B$22),0)*$U90*M$79</f>
        <v>0</v>
      </c>
      <c r="N90" s="22" t="n">
        <f aca="false">IF(AND(N$78-$S90+1-$B$22&gt;=1,N$78-$S90+1-$B$22&lt;=8),INDEX($C$27:$J$27,1,N$78-$S90+1-$B$22),0)*$U90*N$79</f>
        <v>0</v>
      </c>
      <c r="O90" s="22" t="n">
        <f aca="false">IF(AND(O$78-$S90+1-$B$22&gt;=1,O$78-$S90+1-$B$22&lt;=8),INDEX($C$27:$J$27,1,O$78-$S90+1-$B$22),0)*$U90*O$79</f>
        <v>0</v>
      </c>
      <c r="P90" s="22" t="n">
        <f aca="false">IF(AND(P$78-$S90+1-$B$22&gt;=1,P$78-$S90+1-$B$22&lt;=8),INDEX($C$27:$J$27,1,P$78-$S90+1-$B$22),0)*$U90*P$79</f>
        <v>0</v>
      </c>
      <c r="Q90" s="22" t="n">
        <f aca="false">IF(AND(Q$78-$S90+1-$B$22&gt;=1,Q$78-$S90+1-$B$22&lt;=8),INDEX($C$27:$J$27,1,Q$78-$S90+1-$B$22),0)*$U90*Q$79</f>
        <v>0</v>
      </c>
      <c r="S90" s="23" t="n">
        <f aca="false">$B$20+3</f>
        <v>2030</v>
      </c>
      <c r="T90" s="22" t="n">
        <f aca="false">IF($S90&gt;$B$20+Scenarios!$D$8-1,0,$B$19*(1+$B$21*Scenarios!$D$7)^3)</f>
        <v>131127.24</v>
      </c>
      <c r="U90" s="24" t="n">
        <f aca="false">IFERROR($T90/INDEX($C$79:$Q$79,1,MATCH($S90,$C$78:$Q$78,0)),0)</f>
        <v>250.090858912517</v>
      </c>
      <c r="V90" s="24" t="n">
        <f aca="false">SUMPRODUCT(($C$25:$J$25&lt;=$Q$78-$S90+1-$B$22)*$C$27:$J$27)*$U90</f>
        <v>250.090858912517</v>
      </c>
      <c r="W90" s="24" t="n">
        <f aca="false">$U90-$V90</f>
        <v>0</v>
      </c>
    </row>
    <row r="91" customFormat="false" ht="15" hidden="false" customHeight="false" outlineLevel="0" collapsed="false">
      <c r="A91" s="2" t="s">
        <v>118</v>
      </c>
      <c r="C91" s="22" t="n">
        <f aca="false">IF(AND(C$78-$S91+1-$B$22&gt;=1,C$78-$S91+1-$B$22&lt;=8),INDEX($C$27:$J$27,1,C$78-$S91+1-$B$22),0)*$U91*C$79</f>
        <v>0</v>
      </c>
      <c r="D91" s="22" t="n">
        <f aca="false">IF(AND(D$78-$S91+1-$B$22&gt;=1,D$78-$S91+1-$B$22&lt;=8),INDEX($C$27:$J$27,1,D$78-$S91+1-$B$22),0)*$U91*D$79</f>
        <v>0</v>
      </c>
      <c r="E91" s="22" t="n">
        <f aca="false">IF(AND(E$78-$S91+1-$B$22&gt;=1,E$78-$S91+1-$B$22&lt;=8),INDEX($C$27:$J$27,1,E$78-$S91+1-$B$22),0)*$U91*E$79</f>
        <v>0</v>
      </c>
      <c r="F91" s="22" t="n">
        <f aca="false">IF(AND(F$78-$S91+1-$B$22&gt;=1,F$78-$S91+1-$B$22&lt;=8),INDEX($C$27:$J$27,1,F$78-$S91+1-$B$22),0)*$U91*F$79</f>
        <v>0</v>
      </c>
      <c r="G91" s="22" t="n">
        <f aca="false">IF(AND(G$78-$S91+1-$B$22&gt;=1,G$78-$S91+1-$B$22&lt;=8),INDEX($C$27:$J$27,1,G$78-$S91+1-$B$22),0)*$U91*G$79</f>
        <v>0</v>
      </c>
      <c r="H91" s="22" t="n">
        <f aca="false">IF(AND(H$78-$S91+1-$B$22&gt;=1,H$78-$S91+1-$B$22&lt;=8),INDEX($C$27:$J$27,1,H$78-$S91+1-$B$22),0)*$U91*H$79</f>
        <v>0</v>
      </c>
      <c r="I91" s="22" t="n">
        <f aca="false">IF(AND(I$78-$S91+1-$B$22&gt;=1,I$78-$S91+1-$B$22&lt;=8),INDEX($C$27:$J$27,1,I$78-$S91+1-$B$22),0)*$U91*I$79</f>
        <v>36128.832801</v>
      </c>
      <c r="J91" s="22" t="n">
        <f aca="false">IF(AND(J$78-$S91+1-$B$22&gt;=1,J$78-$S91+1-$B$22&lt;=8),INDEX($C$27:$J$27,1,J$78-$S91+1-$B$22),0)*$U91*J$79</f>
        <v>38657.85109707</v>
      </c>
      <c r="K91" s="22" t="n">
        <f aca="false">IF(AND(K$78-$S91+1-$B$22&gt;=1,K$78-$S91+1-$B$22&lt;=8),INDEX($C$27:$J$27,1,K$78-$S91+1-$B$22),0)*$U91*K$79</f>
        <v>41363.9006738649</v>
      </c>
      <c r="L91" s="22" t="n">
        <f aca="false">IF(AND(L$78-$S91+1-$B$22&gt;=1,L$78-$S91+1-$B$22&lt;=8),INDEX($C$27:$J$27,1,L$78-$S91+1-$B$22),0)*$U91*L$79</f>
        <v>44259.3737210354</v>
      </c>
      <c r="M91" s="22" t="n">
        <f aca="false">IF(AND(M$78-$S91+1-$B$22&gt;=1,M$78-$S91+1-$B$22&lt;=8),INDEX($C$27:$J$27,1,M$78-$S91+1-$B$22),0)*$U91*M$79</f>
        <v>0</v>
      </c>
      <c r="N91" s="22" t="n">
        <f aca="false">IF(AND(N$78-$S91+1-$B$22&gt;=1,N$78-$S91+1-$B$22&lt;=8),INDEX($C$27:$J$27,1,N$78-$S91+1-$B$22),0)*$U91*N$79</f>
        <v>0</v>
      </c>
      <c r="O91" s="22" t="n">
        <f aca="false">IF(AND(O$78-$S91+1-$B$22&gt;=1,O$78-$S91+1-$B$22&lt;=8),INDEX($C$27:$J$27,1,O$78-$S91+1-$B$22),0)*$U91*O$79</f>
        <v>0</v>
      </c>
      <c r="P91" s="22" t="n">
        <f aca="false">IF(AND(P$78-$S91+1-$B$22&gt;=1,P$78-$S91+1-$B$22&lt;=8),INDEX($C$27:$J$27,1,P$78-$S91+1-$B$22),0)*$U91*P$79</f>
        <v>0</v>
      </c>
      <c r="Q91" s="22" t="n">
        <f aca="false">IF(AND(Q$78-$S91+1-$B$22&gt;=1,Q$78-$S91+1-$B$22&lt;=8),INDEX($C$27:$J$27,1,Q$78-$S91+1-$B$22),0)*$U91*Q$79</f>
        <v>0</v>
      </c>
      <c r="S91" s="23" t="n">
        <f aca="false">$B$20+4</f>
        <v>2031</v>
      </c>
      <c r="T91" s="22" t="n">
        <f aca="false">IF($S91&gt;$B$20+Scenarios!$D$8-1,0,$B$19*(1+$B$21*Scenarios!$D$7)^4)</f>
        <v>135061.0572</v>
      </c>
      <c r="U91" s="24" t="n">
        <f aca="false">IFERROR($T91/INDEX($C$79:$Q$79,1,MATCH($S91,$C$78:$Q$78,0)),0)</f>
        <v>240.741667925133</v>
      </c>
      <c r="V91" s="24" t="n">
        <f aca="false">SUMPRODUCT(($C$25:$J$25&lt;=$Q$78-$S91+1-$B$22)*$C$27:$J$27)*$U91</f>
        <v>240.741667925133</v>
      </c>
      <c r="W91" s="24" t="n">
        <f aca="false">$U91-$V91</f>
        <v>0</v>
      </c>
    </row>
    <row r="92" customFormat="false" ht="15" hidden="false" customHeight="false" outlineLevel="0" collapsed="false">
      <c r="A92" s="2" t="s">
        <v>119</v>
      </c>
      <c r="C92" s="22" t="n">
        <f aca="false">IF(AND(C$78-$S92+1-$B$22&gt;=1,C$78-$S92+1-$B$22&lt;=8),INDEX($C$27:$J$27,1,C$78-$S92+1-$B$22),0)*$U92*C$79</f>
        <v>0</v>
      </c>
      <c r="D92" s="22" t="n">
        <f aca="false">IF(AND(D$78-$S92+1-$B$22&gt;=1,D$78-$S92+1-$B$22&lt;=8),INDEX($C$27:$J$27,1,D$78-$S92+1-$B$22),0)*$U92*D$79</f>
        <v>0</v>
      </c>
      <c r="E92" s="22" t="n">
        <f aca="false">IF(AND(E$78-$S92+1-$B$22&gt;=1,E$78-$S92+1-$B$22&lt;=8),INDEX($C$27:$J$27,1,E$78-$S92+1-$B$22),0)*$U92*E$79</f>
        <v>0</v>
      </c>
      <c r="F92" s="22" t="n">
        <f aca="false">IF(AND(F$78-$S92+1-$B$22&gt;=1,F$78-$S92+1-$B$22&lt;=8),INDEX($C$27:$J$27,1,F$78-$S92+1-$B$22),0)*$U92*F$79</f>
        <v>0</v>
      </c>
      <c r="G92" s="22" t="n">
        <f aca="false">IF(AND(G$78-$S92+1-$B$22&gt;=1,G$78-$S92+1-$B$22&lt;=8),INDEX($C$27:$J$27,1,G$78-$S92+1-$B$22),0)*$U92*G$79</f>
        <v>0</v>
      </c>
      <c r="H92" s="22" t="n">
        <f aca="false">IF(AND(H$78-$S92+1-$B$22&gt;=1,H$78-$S92+1-$B$22&lt;=8),INDEX($C$27:$J$27,1,H$78-$S92+1-$B$22),0)*$U92*H$79</f>
        <v>0</v>
      </c>
      <c r="I92" s="22" t="n">
        <f aca="false">IF(AND(I$78-$S92+1-$B$22&gt;=1,I$78-$S92+1-$B$22&lt;=8),INDEX($C$27:$J$27,1,I$78-$S92+1-$B$22),0)*$U92*I$79</f>
        <v>0</v>
      </c>
      <c r="J92" s="22" t="n">
        <f aca="false">IF(AND(J$78-$S92+1-$B$22&gt;=1,J$78-$S92+1-$B$22&lt;=8),INDEX($C$27:$J$27,1,J$78-$S92+1-$B$22),0)*$U92*J$79</f>
        <v>37212.69778503</v>
      </c>
      <c r="K92" s="22" t="n">
        <f aca="false">IF(AND(K$78-$S92+1-$B$22&gt;=1,K$78-$S92+1-$B$22&lt;=8),INDEX($C$27:$J$27,1,K$78-$S92+1-$B$22),0)*$U92*K$79</f>
        <v>39817.5866299821</v>
      </c>
      <c r="L92" s="22" t="n">
        <f aca="false">IF(AND(L$78-$S92+1-$B$22&gt;=1,L$78-$S92+1-$B$22&lt;=8),INDEX($C$27:$J$27,1,L$78-$S92+1-$B$22),0)*$U92*L$79</f>
        <v>42604.8176940809</v>
      </c>
      <c r="M92" s="22" t="n">
        <f aca="false">IF(AND(M$78-$S92+1-$B$22&gt;=1,M$78-$S92+1-$B$22&lt;=8),INDEX($C$27:$J$27,1,M$78-$S92+1-$B$22),0)*$U92*M$79</f>
        <v>45587.1549326665</v>
      </c>
      <c r="N92" s="22" t="n">
        <f aca="false">IF(AND(N$78-$S92+1-$B$22&gt;=1,N$78-$S92+1-$B$22&lt;=8),INDEX($C$27:$J$27,1,N$78-$S92+1-$B$22),0)*$U92*N$79</f>
        <v>0</v>
      </c>
      <c r="O92" s="22" t="n">
        <f aca="false">IF(AND(O$78-$S92+1-$B$22&gt;=1,O$78-$S92+1-$B$22&lt;=8),INDEX($C$27:$J$27,1,O$78-$S92+1-$B$22),0)*$U92*O$79</f>
        <v>0</v>
      </c>
      <c r="P92" s="22" t="n">
        <f aca="false">IF(AND(P$78-$S92+1-$B$22&gt;=1,P$78-$S92+1-$B$22&lt;=8),INDEX($C$27:$J$27,1,P$78-$S92+1-$B$22),0)*$U92*P$79</f>
        <v>0</v>
      </c>
      <c r="Q92" s="22" t="n">
        <f aca="false">IF(AND(Q$78-$S92+1-$B$22&gt;=1,Q$78-$S92+1-$B$22&lt;=8),INDEX($C$27:$J$27,1,Q$78-$S92+1-$B$22),0)*$U92*Q$79</f>
        <v>0</v>
      </c>
      <c r="S92" s="23" t="n">
        <f aca="false">$B$20+5</f>
        <v>2032</v>
      </c>
      <c r="T92" s="22" t="n">
        <f aca="false">IF($S92&gt;$B$20+Scenarios!$D$8-1,0,$B$19*(1+$B$21*Scenarios!$D$7)^5)</f>
        <v>139112.888916</v>
      </c>
      <c r="U92" s="24" t="n">
        <f aca="false">IFERROR($T92/INDEX($C$79:$Q$79,1,MATCH($S92,$C$78:$Q$78,0)),0)</f>
        <v>231.741979404567</v>
      </c>
      <c r="V92" s="24" t="n">
        <f aca="false">SUMPRODUCT(($C$25:$J$25&lt;=$Q$78-$S92+1-$B$22)*$C$27:$J$27)*$U92</f>
        <v>231.741979404567</v>
      </c>
      <c r="W92" s="24" t="n">
        <f aca="false">$U92-$V92</f>
        <v>0</v>
      </c>
    </row>
    <row r="93" customFormat="false" ht="15" hidden="false" customHeight="false" outlineLevel="0" collapsed="false">
      <c r="A93" s="2" t="s">
        <v>120</v>
      </c>
      <c r="C93" s="22" t="n">
        <f aca="false">IF(AND(C$78-$S93+1-$B$22&gt;=1,C$78-$S93+1-$B$22&lt;=8),INDEX($C$27:$J$27,1,C$78-$S93+1-$B$22),0)*$U93*C$79</f>
        <v>0</v>
      </c>
      <c r="D93" s="22" t="n">
        <f aca="false">IF(AND(D$78-$S93+1-$B$22&gt;=1,D$78-$S93+1-$B$22&lt;=8),INDEX($C$27:$J$27,1,D$78-$S93+1-$B$22),0)*$U93*D$79</f>
        <v>0</v>
      </c>
      <c r="E93" s="22" t="n">
        <f aca="false">IF(AND(E$78-$S93+1-$B$22&gt;=1,E$78-$S93+1-$B$22&lt;=8),INDEX($C$27:$J$27,1,E$78-$S93+1-$B$22),0)*$U93*E$79</f>
        <v>0</v>
      </c>
      <c r="F93" s="22" t="n">
        <f aca="false">IF(AND(F$78-$S93+1-$B$22&gt;=1,F$78-$S93+1-$B$22&lt;=8),INDEX($C$27:$J$27,1,F$78-$S93+1-$B$22),0)*$U93*F$79</f>
        <v>0</v>
      </c>
      <c r="G93" s="22" t="n">
        <f aca="false">IF(AND(G$78-$S93+1-$B$22&gt;=1,G$78-$S93+1-$B$22&lt;=8),INDEX($C$27:$J$27,1,G$78-$S93+1-$B$22),0)*$U93*G$79</f>
        <v>0</v>
      </c>
      <c r="H93" s="22" t="n">
        <f aca="false">IF(AND(H$78-$S93+1-$B$22&gt;=1,H$78-$S93+1-$B$22&lt;=8),INDEX($C$27:$J$27,1,H$78-$S93+1-$B$22),0)*$U93*H$79</f>
        <v>0</v>
      </c>
      <c r="I93" s="22" t="n">
        <f aca="false">IF(AND(I$78-$S93+1-$B$22&gt;=1,I$78-$S93+1-$B$22&lt;=8),INDEX($C$27:$J$27,1,I$78-$S93+1-$B$22),0)*$U93*I$79</f>
        <v>0</v>
      </c>
      <c r="J93" s="22" t="n">
        <f aca="false">IF(AND(J$78-$S93+1-$B$22&gt;=1,J$78-$S93+1-$B$22&lt;=8),INDEX($C$27:$J$27,1,J$78-$S93+1-$B$22),0)*$U93*J$79</f>
        <v>0</v>
      </c>
      <c r="K93" s="22" t="n">
        <f aca="false">IF(AND(K$78-$S93+1-$B$22&gt;=1,K$78-$S93+1-$B$22&lt;=8),INDEX($C$27:$J$27,1,K$78-$S93+1-$B$22),0)*$U93*K$79</f>
        <v>38329.0787185809</v>
      </c>
      <c r="L93" s="22" t="n">
        <f aca="false">IF(AND(L$78-$S93+1-$B$22&gt;=1,L$78-$S93+1-$B$22&lt;=8),INDEX($C$27:$J$27,1,L$78-$S93+1-$B$22),0)*$U93*L$79</f>
        <v>41012.1142288816</v>
      </c>
      <c r="M93" s="22" t="n">
        <f aca="false">IF(AND(M$78-$S93+1-$B$22&gt;=1,M$78-$S93+1-$B$22&lt;=8),INDEX($C$27:$J$27,1,M$78-$S93+1-$B$22),0)*$U93*M$79</f>
        <v>43882.9622249033</v>
      </c>
      <c r="N93" s="22" t="n">
        <f aca="false">IF(AND(N$78-$S93+1-$B$22&gt;=1,N$78-$S93+1-$B$22&lt;=8),INDEX($C$27:$J$27,1,N$78-$S93+1-$B$22),0)*$U93*N$79</f>
        <v>46954.7695806465</v>
      </c>
      <c r="O93" s="22" t="n">
        <f aca="false">IF(AND(O$78-$S93+1-$B$22&gt;=1,O$78-$S93+1-$B$22&lt;=8),INDEX($C$27:$J$27,1,O$78-$S93+1-$B$22),0)*$U93*O$79</f>
        <v>0</v>
      </c>
      <c r="P93" s="22" t="n">
        <f aca="false">IF(AND(P$78-$S93+1-$B$22&gt;=1,P$78-$S93+1-$B$22&lt;=8),INDEX($C$27:$J$27,1,P$78-$S93+1-$B$22),0)*$U93*P$79</f>
        <v>0</v>
      </c>
      <c r="Q93" s="22" t="n">
        <f aca="false">IF(AND(Q$78-$S93+1-$B$22&gt;=1,Q$78-$S93+1-$B$22&lt;=8),INDEX($C$27:$J$27,1,Q$78-$S93+1-$B$22),0)*$U93*Q$79</f>
        <v>0</v>
      </c>
      <c r="S93" s="23" t="n">
        <f aca="false">$B$20+6</f>
        <v>2033</v>
      </c>
      <c r="T93" s="22" t="n">
        <f aca="false">IF($S93&gt;$B$20+Scenarios!$D$8-1,0,$B$19*(1+$B$21*Scenarios!$D$7)^6)</f>
        <v>143286.27558348</v>
      </c>
      <c r="U93" s="24" t="n">
        <f aca="false">IFERROR($T93/INDEX($C$79:$Q$79,1,MATCH($S93,$C$78:$Q$78,0)),0)</f>
        <v>223.078727838041</v>
      </c>
      <c r="V93" s="24" t="n">
        <f aca="false">SUMPRODUCT(($C$25:$J$25&lt;=$Q$78-$S93+1-$B$22)*$C$27:$J$27)*$U93</f>
        <v>223.078727838041</v>
      </c>
      <c r="W93" s="24" t="n">
        <f aca="false">$U93-$V93</f>
        <v>0</v>
      </c>
    </row>
    <row r="94" customFormat="false" ht="15" hidden="false" customHeight="false" outlineLevel="0" collapsed="false">
      <c r="A94" s="2" t="s">
        <v>121</v>
      </c>
      <c r="C94" s="22" t="n">
        <f aca="false">IF(AND(C$78-$S94+1-$B$22&gt;=1,C$78-$S94+1-$B$22&lt;=8),INDEX($C$27:$J$27,1,C$78-$S94+1-$B$22),0)*$U94*C$79</f>
        <v>0</v>
      </c>
      <c r="D94" s="22" t="n">
        <f aca="false">IF(AND(D$78-$S94+1-$B$22&gt;=1,D$78-$S94+1-$B$22&lt;=8),INDEX($C$27:$J$27,1,D$78-$S94+1-$B$22),0)*$U94*D$79</f>
        <v>0</v>
      </c>
      <c r="E94" s="22" t="n">
        <f aca="false">IF(AND(E$78-$S94+1-$B$22&gt;=1,E$78-$S94+1-$B$22&lt;=8),INDEX($C$27:$J$27,1,E$78-$S94+1-$B$22),0)*$U94*E$79</f>
        <v>0</v>
      </c>
      <c r="F94" s="22" t="n">
        <f aca="false">IF(AND(F$78-$S94+1-$B$22&gt;=1,F$78-$S94+1-$B$22&lt;=8),INDEX($C$27:$J$27,1,F$78-$S94+1-$B$22),0)*$U94*F$79</f>
        <v>0</v>
      </c>
      <c r="G94" s="22" t="n">
        <f aca="false">IF(AND(G$78-$S94+1-$B$22&gt;=1,G$78-$S94+1-$B$22&lt;=8),INDEX($C$27:$J$27,1,G$78-$S94+1-$B$22),0)*$U94*G$79</f>
        <v>0</v>
      </c>
      <c r="H94" s="22" t="n">
        <f aca="false">IF(AND(H$78-$S94+1-$B$22&gt;=1,H$78-$S94+1-$B$22&lt;=8),INDEX($C$27:$J$27,1,H$78-$S94+1-$B$22),0)*$U94*H$79</f>
        <v>0</v>
      </c>
      <c r="I94" s="22" t="n">
        <f aca="false">IF(AND(I$78-$S94+1-$B$22&gt;=1,I$78-$S94+1-$B$22&lt;=8),INDEX($C$27:$J$27,1,I$78-$S94+1-$B$22),0)*$U94*I$79</f>
        <v>0</v>
      </c>
      <c r="J94" s="22" t="n">
        <f aca="false">IF(AND(J$78-$S94+1-$B$22&gt;=1,J$78-$S94+1-$B$22&lt;=8),INDEX($C$27:$J$27,1,J$78-$S94+1-$B$22),0)*$U94*J$79</f>
        <v>0</v>
      </c>
      <c r="K94" s="22" t="n">
        <f aca="false">IF(AND(K$78-$S94+1-$B$22&gt;=1,K$78-$S94+1-$B$22&lt;=8),INDEX($C$27:$J$27,1,K$78-$S94+1-$B$22),0)*$U94*K$79</f>
        <v>0</v>
      </c>
      <c r="L94" s="22" t="n">
        <f aca="false">IF(AND(L$78-$S94+1-$B$22&gt;=1,L$78-$S94+1-$B$22&lt;=8),INDEX($C$27:$J$27,1,L$78-$S94+1-$B$22),0)*$U94*L$79</f>
        <v>39478.9510801383</v>
      </c>
      <c r="M94" s="22" t="n">
        <f aca="false">IF(AND(M$78-$S94+1-$B$22&gt;=1,M$78-$S94+1-$B$22&lt;=8),INDEX($C$27:$J$27,1,M$78-$S94+1-$B$22),0)*$U94*M$79</f>
        <v>42242.477655748</v>
      </c>
      <c r="N94" s="22" t="n">
        <f aca="false">IF(AND(N$78-$S94+1-$B$22&gt;=1,N$78-$S94+1-$B$22&lt;=8),INDEX($C$27:$J$27,1,N$78-$S94+1-$B$22),0)*$U94*N$79</f>
        <v>45199.4510916504</v>
      </c>
      <c r="O94" s="22" t="n">
        <f aca="false">IF(AND(O$78-$S94+1-$B$22&gt;=1,O$78-$S94+1-$B$22&lt;=8),INDEX($C$27:$J$27,1,O$78-$S94+1-$B$22),0)*$U94*O$79</f>
        <v>48363.4126680659</v>
      </c>
      <c r="P94" s="22" t="n">
        <f aca="false">IF(AND(P$78-$S94+1-$B$22&gt;=1,P$78-$S94+1-$B$22&lt;=8),INDEX($C$27:$J$27,1,P$78-$S94+1-$B$22),0)*$U94*P$79</f>
        <v>0</v>
      </c>
      <c r="Q94" s="22" t="n">
        <f aca="false">IF(AND(Q$78-$S94+1-$B$22&gt;=1,Q$78-$S94+1-$B$22&lt;=8),INDEX($C$27:$J$27,1,Q$78-$S94+1-$B$22),0)*$U94*Q$79</f>
        <v>0</v>
      </c>
      <c r="S94" s="23" t="n">
        <f aca="false">$B$20+7</f>
        <v>2034</v>
      </c>
      <c r="T94" s="22" t="n">
        <f aca="false">IF($S94&gt;$B$20+Scenarios!$D$8-1,0,$B$19*(1+$B$21*Scenarios!$D$7)^7)</f>
        <v>147584.863850984</v>
      </c>
      <c r="U94" s="24" t="n">
        <f aca="false">IFERROR($T94/INDEX($C$79:$Q$79,1,MATCH($S94,$C$78:$Q$78,0)),0)</f>
        <v>214.739336143161</v>
      </c>
      <c r="V94" s="24" t="n">
        <f aca="false">SUMPRODUCT(($C$25:$J$25&lt;=$Q$78-$S94+1-$B$22)*$C$27:$J$27)*$U94</f>
        <v>214.739336143161</v>
      </c>
      <c r="W94" s="24" t="n">
        <f aca="false">$U94-$V94</f>
        <v>0</v>
      </c>
    </row>
    <row r="95" customFormat="false" ht="15" hidden="false" customHeight="false" outlineLevel="0" collapsed="false">
      <c r="A95" s="2" t="s">
        <v>122</v>
      </c>
      <c r="C95" s="22" t="n">
        <f aca="false">IF(AND(C$78-$S95+1-$B$22&gt;=1,C$78-$S95+1-$B$22&lt;=8),INDEX($C$27:$J$27,1,C$78-$S95+1-$B$22),0)*$U95*C$79</f>
        <v>0</v>
      </c>
      <c r="D95" s="22" t="n">
        <f aca="false">IF(AND(D$78-$S95+1-$B$22&gt;=1,D$78-$S95+1-$B$22&lt;=8),INDEX($C$27:$J$27,1,D$78-$S95+1-$B$22),0)*$U95*D$79</f>
        <v>0</v>
      </c>
      <c r="E95" s="22" t="n">
        <f aca="false">IF(AND(E$78-$S95+1-$B$22&gt;=1,E$78-$S95+1-$B$22&lt;=8),INDEX($C$27:$J$27,1,E$78-$S95+1-$B$22),0)*$U95*E$79</f>
        <v>0</v>
      </c>
      <c r="F95" s="22" t="n">
        <f aca="false">IF(AND(F$78-$S95+1-$B$22&gt;=1,F$78-$S95+1-$B$22&lt;=8),INDEX($C$27:$J$27,1,F$78-$S95+1-$B$22),0)*$U95*F$79</f>
        <v>0</v>
      </c>
      <c r="G95" s="22" t="n">
        <f aca="false">IF(AND(G$78-$S95+1-$B$22&gt;=1,G$78-$S95+1-$B$22&lt;=8),INDEX($C$27:$J$27,1,G$78-$S95+1-$B$22),0)*$U95*G$79</f>
        <v>0</v>
      </c>
      <c r="H95" s="22" t="n">
        <f aca="false">IF(AND(H$78-$S95+1-$B$22&gt;=1,H$78-$S95+1-$B$22&lt;=8),INDEX($C$27:$J$27,1,H$78-$S95+1-$B$22),0)*$U95*H$79</f>
        <v>0</v>
      </c>
      <c r="I95" s="22" t="n">
        <f aca="false">IF(AND(I$78-$S95+1-$B$22&gt;=1,I$78-$S95+1-$B$22&lt;=8),INDEX($C$27:$J$27,1,I$78-$S95+1-$B$22),0)*$U95*I$79</f>
        <v>0</v>
      </c>
      <c r="J95" s="22" t="n">
        <f aca="false">IF(AND(J$78-$S95+1-$B$22&gt;=1,J$78-$S95+1-$B$22&lt;=8),INDEX($C$27:$J$27,1,J$78-$S95+1-$B$22),0)*$U95*J$79</f>
        <v>0</v>
      </c>
      <c r="K95" s="22" t="n">
        <f aca="false">IF(AND(K$78-$S95+1-$B$22&gt;=1,K$78-$S95+1-$B$22&lt;=8),INDEX($C$27:$J$27,1,K$78-$S95+1-$B$22),0)*$U95*K$79</f>
        <v>0</v>
      </c>
      <c r="L95" s="22" t="n">
        <f aca="false">IF(AND(L$78-$S95+1-$B$22&gt;=1,L$78-$S95+1-$B$22&lt;=8),INDEX($C$27:$J$27,1,L$78-$S95+1-$B$22),0)*$U95*L$79</f>
        <v>0</v>
      </c>
      <c r="M95" s="22" t="n">
        <f aca="false">IF(AND(M$78-$S95+1-$B$22&gt;=1,M$78-$S95+1-$B$22&lt;=8),INDEX($C$27:$J$27,1,M$78-$S95+1-$B$22),0)*$U95*M$79</f>
        <v>40663.3196125425</v>
      </c>
      <c r="N95" s="22" t="n">
        <f aca="false">IF(AND(N$78-$S95+1-$B$22&gt;=1,N$78-$S95+1-$B$22&lt;=8),INDEX($C$27:$J$27,1,N$78-$S95+1-$B$22),0)*$U95*N$79</f>
        <v>43509.7519854205</v>
      </c>
      <c r="O95" s="22" t="n">
        <f aca="false">IF(AND(O$78-$S95+1-$B$22&gt;=1,O$78-$S95+1-$B$22&lt;=8),INDEX($C$27:$J$27,1,O$78-$S95+1-$B$22),0)*$U95*O$79</f>
        <v>46555.4346243999</v>
      </c>
      <c r="P95" s="22" t="n">
        <f aca="false">IF(AND(P$78-$S95+1-$B$22&gt;=1,P$78-$S95+1-$B$22&lt;=8),INDEX($C$27:$J$27,1,P$78-$S95+1-$B$22),0)*$U95*P$79</f>
        <v>49814.3150481079</v>
      </c>
      <c r="Q95" s="22" t="n">
        <f aca="false">IF(AND(Q$78-$S95+1-$B$22&gt;=1,Q$78-$S95+1-$B$22&lt;=8),INDEX($C$27:$J$27,1,Q$78-$S95+1-$B$22),0)*$U95*Q$79</f>
        <v>0</v>
      </c>
      <c r="S95" s="23" t="n">
        <f aca="false">$B$20+8</f>
        <v>2035</v>
      </c>
      <c r="T95" s="22" t="n">
        <f aca="false">IF($S95&gt;$B$20+Scenarios!$D$8-1,0,$B$19*(1+$B$21*Scenarios!$D$7)^8)</f>
        <v>152012.409766514</v>
      </c>
      <c r="U95" s="24" t="n">
        <f aca="false">IFERROR($T95/INDEX($C$79:$Q$79,1,MATCH($S95,$C$78:$Q$78,0)),0)</f>
        <v>206.711697408838</v>
      </c>
      <c r="V95" s="24" t="n">
        <f aca="false">SUMPRODUCT(($C$25:$J$25&lt;=$Q$78-$S95+1-$B$22)*$C$27:$J$27)*$U95</f>
        <v>206.711697408838</v>
      </c>
      <c r="W95" s="24" t="n">
        <f aca="false">$U95-$V95</f>
        <v>0</v>
      </c>
    </row>
    <row r="96" customFormat="false" ht="15" hidden="false" customHeight="false" outlineLevel="0" collapsed="false">
      <c r="A96" s="2" t="s">
        <v>123</v>
      </c>
      <c r="C96" s="22" t="n">
        <f aca="false">IF(AND(C$78-$S96+1-$B$22&gt;=1,C$78-$S96+1-$B$22&lt;=8),INDEX($C$27:$J$27,1,C$78-$S96+1-$B$22),0)*$U96*C$79</f>
        <v>0</v>
      </c>
      <c r="D96" s="22" t="n">
        <f aca="false">IF(AND(D$78-$S96+1-$B$22&gt;=1,D$78-$S96+1-$B$22&lt;=8),INDEX($C$27:$J$27,1,D$78-$S96+1-$B$22),0)*$U96*D$79</f>
        <v>0</v>
      </c>
      <c r="E96" s="22" t="n">
        <f aca="false">IF(AND(E$78-$S96+1-$B$22&gt;=1,E$78-$S96+1-$B$22&lt;=8),INDEX($C$27:$J$27,1,E$78-$S96+1-$B$22),0)*$U96*E$79</f>
        <v>0</v>
      </c>
      <c r="F96" s="22" t="n">
        <f aca="false">IF(AND(F$78-$S96+1-$B$22&gt;=1,F$78-$S96+1-$B$22&lt;=8),INDEX($C$27:$J$27,1,F$78-$S96+1-$B$22),0)*$U96*F$79</f>
        <v>0</v>
      </c>
      <c r="G96" s="22" t="n">
        <f aca="false">IF(AND(G$78-$S96+1-$B$22&gt;=1,G$78-$S96+1-$B$22&lt;=8),INDEX($C$27:$J$27,1,G$78-$S96+1-$B$22),0)*$U96*G$79</f>
        <v>0</v>
      </c>
      <c r="H96" s="22" t="n">
        <f aca="false">IF(AND(H$78-$S96+1-$B$22&gt;=1,H$78-$S96+1-$B$22&lt;=8),INDEX($C$27:$J$27,1,H$78-$S96+1-$B$22),0)*$U96*H$79</f>
        <v>0</v>
      </c>
      <c r="I96" s="22" t="n">
        <f aca="false">IF(AND(I$78-$S96+1-$B$22&gt;=1,I$78-$S96+1-$B$22&lt;=8),INDEX($C$27:$J$27,1,I$78-$S96+1-$B$22),0)*$U96*I$79</f>
        <v>0</v>
      </c>
      <c r="J96" s="22" t="n">
        <f aca="false">IF(AND(J$78-$S96+1-$B$22&gt;=1,J$78-$S96+1-$B$22&lt;=8),INDEX($C$27:$J$27,1,J$78-$S96+1-$B$22),0)*$U96*J$79</f>
        <v>0</v>
      </c>
      <c r="K96" s="22" t="n">
        <f aca="false">IF(AND(K$78-$S96+1-$B$22&gt;=1,K$78-$S96+1-$B$22&lt;=8),INDEX($C$27:$J$27,1,K$78-$S96+1-$B$22),0)*$U96*K$79</f>
        <v>0</v>
      </c>
      <c r="L96" s="22" t="n">
        <f aca="false">IF(AND(L$78-$S96+1-$B$22&gt;=1,L$78-$S96+1-$B$22&lt;=8),INDEX($C$27:$J$27,1,L$78-$S96+1-$B$22),0)*$U96*L$79</f>
        <v>0</v>
      </c>
      <c r="M96" s="22" t="n">
        <f aca="false">IF(AND(M$78-$S96+1-$B$22&gt;=1,M$78-$S96+1-$B$22&lt;=8),INDEX($C$27:$J$27,1,M$78-$S96+1-$B$22),0)*$U96*M$79</f>
        <v>0</v>
      </c>
      <c r="N96" s="22" t="n">
        <f aca="false">IF(AND(N$78-$S96+1-$B$22&gt;=1,N$78-$S96+1-$B$22&lt;=8),INDEX($C$27:$J$27,1,N$78-$S96+1-$B$22),0)*$U96*N$79</f>
        <v>41883.2192009188</v>
      </c>
      <c r="O96" s="22" t="n">
        <f aca="false">IF(AND(O$78-$S96+1-$B$22&gt;=1,O$78-$S96+1-$B$22&lt;=8),INDEX($C$27:$J$27,1,O$78-$S96+1-$B$22),0)*$U96*O$79</f>
        <v>44815.0445449831</v>
      </c>
      <c r="P96" s="22" t="n">
        <f aca="false">IF(AND(P$78-$S96+1-$B$22&gt;=1,P$78-$S96+1-$B$22&lt;=8),INDEX($C$27:$J$27,1,P$78-$S96+1-$B$22),0)*$U96*P$79</f>
        <v>47952.0976631319</v>
      </c>
      <c r="Q96" s="22" t="n">
        <f aca="false">IF(AND(Q$78-$S96+1-$B$22&gt;=1,Q$78-$S96+1-$B$22&lt;=8),INDEX($C$27:$J$27,1,Q$78-$S96+1-$B$22),0)*$U96*Q$79</f>
        <v>51308.7444995511</v>
      </c>
      <c r="S96" s="23" t="n">
        <f aca="false">$B$20+9</f>
        <v>2036</v>
      </c>
      <c r="T96" s="22" t="n">
        <f aca="false">IF($S96&gt;$B$20+Scenarios!$D$8-1,0,$B$19*(1+$B$21*Scenarios!$D$7)^9)</f>
        <v>156572.782059509</v>
      </c>
      <c r="U96" s="24" t="n">
        <f aca="false">IFERROR($T96/INDEX($C$79:$Q$79,1,MATCH($S96,$C$78:$Q$78,0)),0)</f>
        <v>198.984157318788</v>
      </c>
      <c r="V96" s="24" t="n">
        <f aca="false">SUMPRODUCT(($C$25:$J$25&lt;=$Q$78-$S96+1-$B$22)*$C$27:$J$27)*$U96</f>
        <v>198.984157318788</v>
      </c>
      <c r="W96" s="24" t="n">
        <f aca="false">$U96-$V96</f>
        <v>0</v>
      </c>
    </row>
    <row r="97" customFormat="false" ht="15" hidden="false" customHeight="false" outlineLevel="0" collapsed="false">
      <c r="A97" s="2" t="s">
        <v>124</v>
      </c>
      <c r="C97" s="22" t="n">
        <f aca="false">IF(AND(C$78-$S97+1-$B$22&gt;=1,C$78-$S97+1-$B$22&lt;=8),INDEX($C$27:$J$27,1,C$78-$S97+1-$B$22),0)*$U97*C$79</f>
        <v>0</v>
      </c>
      <c r="D97" s="22" t="n">
        <f aca="false">IF(AND(D$78-$S97+1-$B$22&gt;=1,D$78-$S97+1-$B$22&lt;=8),INDEX($C$27:$J$27,1,D$78-$S97+1-$B$22),0)*$U97*D$79</f>
        <v>0</v>
      </c>
      <c r="E97" s="22" t="n">
        <f aca="false">IF(AND(E$78-$S97+1-$B$22&gt;=1,E$78-$S97+1-$B$22&lt;=8),INDEX($C$27:$J$27,1,E$78-$S97+1-$B$22),0)*$U97*E$79</f>
        <v>0</v>
      </c>
      <c r="F97" s="22" t="n">
        <f aca="false">IF(AND(F$78-$S97+1-$B$22&gt;=1,F$78-$S97+1-$B$22&lt;=8),INDEX($C$27:$J$27,1,F$78-$S97+1-$B$22),0)*$U97*F$79</f>
        <v>0</v>
      </c>
      <c r="G97" s="22" t="n">
        <f aca="false">IF(AND(G$78-$S97+1-$B$22&gt;=1,G$78-$S97+1-$B$22&lt;=8),INDEX($C$27:$J$27,1,G$78-$S97+1-$B$22),0)*$U97*G$79</f>
        <v>0</v>
      </c>
      <c r="H97" s="22" t="n">
        <f aca="false">IF(AND(H$78-$S97+1-$B$22&gt;=1,H$78-$S97+1-$B$22&lt;=8),INDEX($C$27:$J$27,1,H$78-$S97+1-$B$22),0)*$U97*H$79</f>
        <v>0</v>
      </c>
      <c r="I97" s="22" t="n">
        <f aca="false">IF(AND(I$78-$S97+1-$B$22&gt;=1,I$78-$S97+1-$B$22&lt;=8),INDEX($C$27:$J$27,1,I$78-$S97+1-$B$22),0)*$U97*I$79</f>
        <v>0</v>
      </c>
      <c r="J97" s="22" t="n">
        <f aca="false">IF(AND(J$78-$S97+1-$B$22&gt;=1,J$78-$S97+1-$B$22&lt;=8),INDEX($C$27:$J$27,1,J$78-$S97+1-$B$22),0)*$U97*J$79</f>
        <v>0</v>
      </c>
      <c r="K97" s="22" t="n">
        <f aca="false">IF(AND(K$78-$S97+1-$B$22&gt;=1,K$78-$S97+1-$B$22&lt;=8),INDEX($C$27:$J$27,1,K$78-$S97+1-$B$22),0)*$U97*K$79</f>
        <v>0</v>
      </c>
      <c r="L97" s="22" t="n">
        <f aca="false">IF(AND(L$78-$S97+1-$B$22&gt;=1,L$78-$S97+1-$B$22&lt;=8),INDEX($C$27:$J$27,1,L$78-$S97+1-$B$22),0)*$U97*L$79</f>
        <v>0</v>
      </c>
      <c r="M97" s="22" t="n">
        <f aca="false">IF(AND(M$78-$S97+1-$B$22&gt;=1,M$78-$S97+1-$B$22&lt;=8),INDEX($C$27:$J$27,1,M$78-$S97+1-$B$22),0)*$U97*M$79</f>
        <v>0</v>
      </c>
      <c r="N97" s="22" t="n">
        <f aca="false">IF(AND(N$78-$S97+1-$B$22&gt;=1,N$78-$S97+1-$B$22&lt;=8),INDEX($C$27:$J$27,1,N$78-$S97+1-$B$22),0)*$U97*N$79</f>
        <v>0</v>
      </c>
      <c r="O97" s="22" t="n">
        <f aca="false">IF(AND(O$78-$S97+1-$B$22&gt;=1,O$78-$S97+1-$B$22&lt;=8),INDEX($C$27:$J$27,1,O$78-$S97+1-$B$22),0)*$U97*O$79</f>
        <v>43139.7157769463</v>
      </c>
      <c r="P97" s="22" t="n">
        <f aca="false">IF(AND(P$78-$S97+1-$B$22&gt;=1,P$78-$S97+1-$B$22&lt;=8),INDEX($C$27:$J$27,1,P$78-$S97+1-$B$22),0)*$U97*P$79</f>
        <v>46159.4958813326</v>
      </c>
      <c r="Q97" s="22" t="n">
        <f aca="false">IF(AND(Q$78-$S97+1-$B$22&gt;=1,Q$78-$S97+1-$B$22&lt;=8),INDEX($C$27:$J$27,1,Q$78-$S97+1-$B$22),0)*$U97*Q$79</f>
        <v>49390.6605930258</v>
      </c>
      <c r="S97" s="23" t="n">
        <f aca="false">$B$20+10</f>
        <v>2037</v>
      </c>
      <c r="T97" s="22" t="n">
        <f aca="false">IF($S97&gt;$B$20+Scenarios!$D$8-1,0,$B$19*(1+$B$21*Scenarios!$D$7)^10)</f>
        <v>161269.965521295</v>
      </c>
      <c r="U97" s="24" t="n">
        <f aca="false">IFERROR($T97/INDEX($C$79:$Q$79,1,MATCH($S97,$C$78:$Q$78,0)),0)</f>
        <v>191.545497232104</v>
      </c>
      <c r="V97" s="24" t="n">
        <f aca="false">SUMPRODUCT(($C$25:$J$25&lt;=$Q$78-$S97+1-$B$22)*$C$27:$J$27)*$U97</f>
        <v>143.659122924078</v>
      </c>
      <c r="W97" s="24" t="n">
        <f aca="false">$U97-$V97</f>
        <v>47.886374308026</v>
      </c>
    </row>
    <row r="98" customFormat="false" ht="15" hidden="false" customHeight="false" outlineLevel="0" collapsed="false">
      <c r="A98" s="2" t="s">
        <v>125</v>
      </c>
      <c r="C98" s="22" t="n">
        <f aca="false">IF(AND(C$78-$S98+1-$B$22&gt;=1,C$78-$S98+1-$B$22&lt;=8),INDEX($C$27:$J$27,1,C$78-$S98+1-$B$22),0)*$U98*C$79</f>
        <v>0</v>
      </c>
      <c r="D98" s="22" t="n">
        <f aca="false">IF(AND(D$78-$S98+1-$B$22&gt;=1,D$78-$S98+1-$B$22&lt;=8),INDEX($C$27:$J$27,1,D$78-$S98+1-$B$22),0)*$U98*D$79</f>
        <v>0</v>
      </c>
      <c r="E98" s="22" t="n">
        <f aca="false">IF(AND(E$78-$S98+1-$B$22&gt;=1,E$78-$S98+1-$B$22&lt;=8),INDEX($C$27:$J$27,1,E$78-$S98+1-$B$22),0)*$U98*E$79</f>
        <v>0</v>
      </c>
      <c r="F98" s="22" t="n">
        <f aca="false">IF(AND(F$78-$S98+1-$B$22&gt;=1,F$78-$S98+1-$B$22&lt;=8),INDEX($C$27:$J$27,1,F$78-$S98+1-$B$22),0)*$U98*F$79</f>
        <v>0</v>
      </c>
      <c r="G98" s="22" t="n">
        <f aca="false">IF(AND(G$78-$S98+1-$B$22&gt;=1,G$78-$S98+1-$B$22&lt;=8),INDEX($C$27:$J$27,1,G$78-$S98+1-$B$22),0)*$U98*G$79</f>
        <v>0</v>
      </c>
      <c r="H98" s="22" t="n">
        <f aca="false">IF(AND(H$78-$S98+1-$B$22&gt;=1,H$78-$S98+1-$B$22&lt;=8),INDEX($C$27:$J$27,1,H$78-$S98+1-$B$22),0)*$U98*H$79</f>
        <v>0</v>
      </c>
      <c r="I98" s="22" t="n">
        <f aca="false">IF(AND(I$78-$S98+1-$B$22&gt;=1,I$78-$S98+1-$B$22&lt;=8),INDEX($C$27:$J$27,1,I$78-$S98+1-$B$22),0)*$U98*I$79</f>
        <v>0</v>
      </c>
      <c r="J98" s="22" t="n">
        <f aca="false">IF(AND(J$78-$S98+1-$B$22&gt;=1,J$78-$S98+1-$B$22&lt;=8),INDEX($C$27:$J$27,1,J$78-$S98+1-$B$22),0)*$U98*J$79</f>
        <v>0</v>
      </c>
      <c r="K98" s="22" t="n">
        <f aca="false">IF(AND(K$78-$S98+1-$B$22&gt;=1,K$78-$S98+1-$B$22&lt;=8),INDEX($C$27:$J$27,1,K$78-$S98+1-$B$22),0)*$U98*K$79</f>
        <v>0</v>
      </c>
      <c r="L98" s="22" t="n">
        <f aca="false">IF(AND(L$78-$S98+1-$B$22&gt;=1,L$78-$S98+1-$B$22&lt;=8),INDEX($C$27:$J$27,1,L$78-$S98+1-$B$22),0)*$U98*L$79</f>
        <v>0</v>
      </c>
      <c r="M98" s="22" t="n">
        <f aca="false">IF(AND(M$78-$S98+1-$B$22&gt;=1,M$78-$S98+1-$B$22&lt;=8),INDEX($C$27:$J$27,1,M$78-$S98+1-$B$22),0)*$U98*M$79</f>
        <v>0</v>
      </c>
      <c r="N98" s="22" t="n">
        <f aca="false">IF(AND(N$78-$S98+1-$B$22&gt;=1,N$78-$S98+1-$B$22&lt;=8),INDEX($C$27:$J$27,1,N$78-$S98+1-$B$22),0)*$U98*N$79</f>
        <v>0</v>
      </c>
      <c r="O98" s="22" t="n">
        <f aca="false">IF(AND(O$78-$S98+1-$B$22&gt;=1,O$78-$S98+1-$B$22&lt;=8),INDEX($C$27:$J$27,1,O$78-$S98+1-$B$22),0)*$U98*O$79</f>
        <v>0</v>
      </c>
      <c r="P98" s="22" t="n">
        <f aca="false">IF(AND(P$78-$S98+1-$B$22&gt;=1,P$78-$S98+1-$B$22&lt;=8),INDEX($C$27:$J$27,1,P$78-$S98+1-$B$22),0)*$U98*P$79</f>
        <v>44433.9072502547</v>
      </c>
      <c r="Q98" s="22" t="n">
        <f aca="false">IF(AND(Q$78-$S98+1-$B$22&gt;=1,Q$78-$S98+1-$B$22&lt;=8),INDEX($C$27:$J$27,1,Q$78-$S98+1-$B$22),0)*$U98*Q$79</f>
        <v>47544.2807577726</v>
      </c>
      <c r="S98" s="23" t="n">
        <f aca="false">$B$20+11</f>
        <v>2038</v>
      </c>
      <c r="T98" s="22" t="n">
        <f aca="false">IF($S98&gt;$B$20+Scenarios!$D$8-1,0,$B$19*(1+$B$21*Scenarios!$D$7)^11)</f>
        <v>166108.064486934</v>
      </c>
      <c r="U98" s="24" t="n">
        <f aca="false">IFERROR($T98/INDEX($C$79:$Q$79,1,MATCH($S98,$C$78:$Q$78,0)),0)</f>
        <v>184.384917896324</v>
      </c>
      <c r="V98" s="24" t="n">
        <f aca="false">SUMPRODUCT(($C$25:$J$25&lt;=$Q$78-$S98+1-$B$22)*$C$27:$J$27)*$U98</f>
        <v>92.1924589481622</v>
      </c>
      <c r="W98" s="24" t="n">
        <f aca="false">$U98-$V98</f>
        <v>92.1924589481622</v>
      </c>
    </row>
    <row r="100" customFormat="false" ht="15" hidden="false" customHeight="false" outlineLevel="0" collapsed="false">
      <c r="A100" s="2" t="s">
        <v>126</v>
      </c>
      <c r="C100" s="22" t="n">
        <f aca="false">C86</f>
        <v>0</v>
      </c>
      <c r="D100" s="22" t="n">
        <f aca="false">D86</f>
        <v>93625</v>
      </c>
      <c r="E100" s="22" t="n">
        <f aca="false">E86</f>
        <v>100178.75</v>
      </c>
      <c r="F100" s="22" t="n">
        <f aca="false">F86</f>
        <v>107191.2625</v>
      </c>
      <c r="G100" s="22" t="n">
        <f aca="false">G86</f>
        <v>114694.650875</v>
      </c>
      <c r="H100" s="22" t="n">
        <f aca="false">H86</f>
        <v>0</v>
      </c>
      <c r="I100" s="22" t="n">
        <f aca="false">I86</f>
        <v>0</v>
      </c>
      <c r="J100" s="22" t="n">
        <f aca="false">J86</f>
        <v>0</v>
      </c>
      <c r="K100" s="22" t="n">
        <f aca="false">K86</f>
        <v>0</v>
      </c>
      <c r="L100" s="22" t="n">
        <f aca="false">L86</f>
        <v>0</v>
      </c>
      <c r="M100" s="22" t="n">
        <f aca="false">M86</f>
        <v>0</v>
      </c>
      <c r="N100" s="22" t="n">
        <f aca="false">N86</f>
        <v>0</v>
      </c>
      <c r="O100" s="22" t="n">
        <f aca="false">O86</f>
        <v>0</v>
      </c>
      <c r="P100" s="22" t="n">
        <f aca="false">P86</f>
        <v>0</v>
      </c>
      <c r="Q100" s="22" t="n">
        <f aca="false">Q86</f>
        <v>0</v>
      </c>
    </row>
    <row r="101" customFormat="false" ht="15" hidden="false" customHeight="false" outlineLevel="0" collapsed="false">
      <c r="A101" s="2" t="s">
        <v>127</v>
      </c>
      <c r="C101" s="22" t="n">
        <f aca="false">SUM(C87:C98)</f>
        <v>0</v>
      </c>
      <c r="D101" s="22" t="n">
        <f aca="false">SUM(D87:D98)</f>
        <v>0</v>
      </c>
      <c r="E101" s="22" t="n">
        <f aca="false">SUM(E87:E98)</f>
        <v>32100</v>
      </c>
      <c r="F101" s="22" t="n">
        <f aca="false">SUM(F87:F98)</f>
        <v>67410</v>
      </c>
      <c r="G101" s="22" t="n">
        <f aca="false">SUM(G87:G98)</f>
        <v>106183.59</v>
      </c>
      <c r="H101" s="22" t="n">
        <f aca="false">SUM(H87:H98)</f>
        <v>148692.978</v>
      </c>
      <c r="I101" s="22" t="n">
        <f aca="false">SUM(I87:I98)</f>
        <v>153153.76734</v>
      </c>
      <c r="J101" s="22" t="n">
        <f aca="false">SUM(J87:J98)</f>
        <v>157748.3803602</v>
      </c>
      <c r="K101" s="22" t="n">
        <f aca="false">SUM(K87:K98)</f>
        <v>162480.831771006</v>
      </c>
      <c r="L101" s="22" t="n">
        <f aca="false">SUM(L87:L98)</f>
        <v>167355.256724136</v>
      </c>
      <c r="M101" s="22" t="n">
        <f aca="false">SUM(M87:M98)</f>
        <v>172375.91442586</v>
      </c>
      <c r="N101" s="22" t="n">
        <f aca="false">SUM(N87:N98)</f>
        <v>177547.191858636</v>
      </c>
      <c r="O101" s="22" t="n">
        <f aca="false">SUM(O87:O98)</f>
        <v>182873.607614395</v>
      </c>
      <c r="P101" s="22" t="n">
        <f aca="false">SUM(P87:P98)</f>
        <v>188359.815842827</v>
      </c>
      <c r="Q101" s="22" t="n">
        <f aca="false">SUM(Q87:Q98)</f>
        <v>148243.68585035</v>
      </c>
    </row>
    <row r="102" customFormat="false" ht="15" hidden="false" customHeight="false" outlineLevel="0" collapsed="false">
      <c r="A102" s="3" t="s">
        <v>128</v>
      </c>
      <c r="C102" s="25" t="n">
        <f aca="false">C100+C101</f>
        <v>0</v>
      </c>
      <c r="D102" s="25" t="n">
        <f aca="false">D100+D101</f>
        <v>93625</v>
      </c>
      <c r="E102" s="25" t="n">
        <f aca="false">E100+E101</f>
        <v>132278.75</v>
      </c>
      <c r="F102" s="25" t="n">
        <f aca="false">F100+F101</f>
        <v>174601.2625</v>
      </c>
      <c r="G102" s="25" t="n">
        <f aca="false">G100+G101</f>
        <v>220878.240875</v>
      </c>
      <c r="H102" s="25" t="n">
        <f aca="false">H100+H101</f>
        <v>148692.978</v>
      </c>
      <c r="I102" s="25" t="n">
        <f aca="false">I100+I101</f>
        <v>153153.76734</v>
      </c>
      <c r="J102" s="25" t="n">
        <f aca="false">J100+J101</f>
        <v>157748.3803602</v>
      </c>
      <c r="K102" s="25" t="n">
        <f aca="false">K100+K101</f>
        <v>162480.831771006</v>
      </c>
      <c r="L102" s="25" t="n">
        <f aca="false">L100+L101</f>
        <v>167355.256724136</v>
      </c>
      <c r="M102" s="25" t="n">
        <f aca="false">M100+M101</f>
        <v>172375.91442586</v>
      </c>
      <c r="N102" s="25" t="n">
        <f aca="false">N100+N101</f>
        <v>177547.191858636</v>
      </c>
      <c r="O102" s="25" t="n">
        <f aca="false">O100+O101</f>
        <v>182873.607614395</v>
      </c>
      <c r="P102" s="25" t="n">
        <f aca="false">P100+P101</f>
        <v>188359.815842827</v>
      </c>
      <c r="Q102" s="25" t="n">
        <f aca="false">Q100+Q101</f>
        <v>148243.68585035</v>
      </c>
    </row>
    <row r="103" customFormat="false" ht="15" hidden="false" customHeight="false" outlineLevel="0" collapsed="false">
      <c r="A103" s="2" t="s">
        <v>129</v>
      </c>
      <c r="C103" s="23" t="n">
        <f aca="false">SUMPRODUCT((C86:C98&gt;0)*1)</f>
        <v>0</v>
      </c>
      <c r="D103" s="23" t="n">
        <f aca="false">SUMPRODUCT((D86:D98&gt;0)*1)</f>
        <v>1</v>
      </c>
      <c r="E103" s="23" t="n">
        <f aca="false">SUMPRODUCT((E86:E98&gt;0)*1)</f>
        <v>2</v>
      </c>
      <c r="F103" s="23" t="n">
        <f aca="false">SUMPRODUCT((F86:F98&gt;0)*1)</f>
        <v>3</v>
      </c>
      <c r="G103" s="23" t="n">
        <f aca="false">SUMPRODUCT((G86:G98&gt;0)*1)</f>
        <v>4</v>
      </c>
      <c r="H103" s="23" t="n">
        <f aca="false">SUMPRODUCT((H86:H98&gt;0)*1)</f>
        <v>4</v>
      </c>
      <c r="I103" s="23" t="n">
        <f aca="false">SUMPRODUCT((I86:I98&gt;0)*1)</f>
        <v>4</v>
      </c>
      <c r="J103" s="23" t="n">
        <f aca="false">SUMPRODUCT((J86:J98&gt;0)*1)</f>
        <v>4</v>
      </c>
      <c r="K103" s="23" t="n">
        <f aca="false">SUMPRODUCT((K86:K98&gt;0)*1)</f>
        <v>4</v>
      </c>
      <c r="L103" s="23" t="n">
        <f aca="false">SUMPRODUCT((L86:L98&gt;0)*1)</f>
        <v>4</v>
      </c>
      <c r="M103" s="23" t="n">
        <f aca="false">SUMPRODUCT((M86:M98&gt;0)*1)</f>
        <v>4</v>
      </c>
      <c r="N103" s="23" t="n">
        <f aca="false">SUMPRODUCT((N86:N98&gt;0)*1)</f>
        <v>4</v>
      </c>
      <c r="O103" s="23" t="n">
        <f aca="false">SUMPRODUCT((O86:O98&gt;0)*1)</f>
        <v>4</v>
      </c>
      <c r="P103" s="23" t="n">
        <f aca="false">SUMPRODUCT((P86:P98&gt;0)*1)</f>
        <v>4</v>
      </c>
      <c r="Q103" s="23" t="n">
        <f aca="false">SUMPRODUCT((Q86:Q98&gt;0)*1)</f>
        <v>3</v>
      </c>
    </row>
    <row r="105" customFormat="false" ht="15" hidden="false" customHeight="false" outlineLevel="0" collapsed="false">
      <c r="A105" s="3" t="s">
        <v>130</v>
      </c>
      <c r="C105" s="26" t="n">
        <f aca="false">C80+C82+C83+C102</f>
        <v>247500</v>
      </c>
      <c r="D105" s="26" t="n">
        <f aca="false">D80+D82+D83+D102</f>
        <v>390685</v>
      </c>
      <c r="E105" s="26" t="n">
        <f aca="false">E80+E82+E83+E102</f>
        <v>399625.55</v>
      </c>
      <c r="F105" s="26" t="n">
        <f aca="false">F80+F82+F83+F102</f>
        <v>449968.4665</v>
      </c>
      <c r="G105" s="26" t="n">
        <f aca="false">G80+G82+G83+G102</f>
        <v>504506.460995</v>
      </c>
      <c r="H105" s="26" t="n">
        <f aca="false">H80+H82+H83+H102</f>
        <v>440830.0447236</v>
      </c>
      <c r="I105" s="26" t="n">
        <f aca="false">I80+I82+I83+I102</f>
        <v>454054.946065308</v>
      </c>
      <c r="J105" s="26" t="n">
        <f aca="false">J80+J82+J83+J102</f>
        <v>467676.594447267</v>
      </c>
      <c r="K105" s="26" t="n">
        <f aca="false">K80+K82+K83+K102</f>
        <v>481706.892280685</v>
      </c>
      <c r="L105" s="26" t="n">
        <f aca="false">L80+L82+L83+L102</f>
        <v>496158.099049106</v>
      </c>
      <c r="M105" s="26" t="n">
        <f aca="false">M80+M82+M83+M102</f>
        <v>511042.842020579</v>
      </c>
      <c r="N105" s="26" t="n">
        <f aca="false">N80+N82+N83+N102</f>
        <v>526374.127281197</v>
      </c>
      <c r="O105" s="26" t="n">
        <f aca="false">O80+O82+O83+O102</f>
        <v>542165.351099632</v>
      </c>
      <c r="P105" s="26" t="n">
        <f aca="false">P80+P82+P83+P102</f>
        <v>558430.311632622</v>
      </c>
      <c r="Q105" s="26" t="n">
        <f aca="false">Q80+Q82+Q83+Q102</f>
        <v>529416.296513838</v>
      </c>
    </row>
    <row r="106" customFormat="false" ht="15" hidden="false" customHeight="false" outlineLevel="0" collapsed="false">
      <c r="A106" s="3" t="s">
        <v>131</v>
      </c>
      <c r="C106" s="25" t="n">
        <f aca="false">C105</f>
        <v>247500</v>
      </c>
      <c r="D106" s="25" t="n">
        <f aca="false">C106+D105</f>
        <v>638185</v>
      </c>
      <c r="E106" s="25" t="n">
        <f aca="false">D106+E105</f>
        <v>1037810.55</v>
      </c>
      <c r="F106" s="25" t="n">
        <f aca="false">E106+F105</f>
        <v>1487779.0165</v>
      </c>
      <c r="G106" s="25" t="n">
        <f aca="false">F106+G105</f>
        <v>1992285.477495</v>
      </c>
      <c r="H106" s="25" t="n">
        <f aca="false">G106+H105</f>
        <v>2433115.5222186</v>
      </c>
      <c r="I106" s="25" t="n">
        <f aca="false">H106+I105</f>
        <v>2887170.46828391</v>
      </c>
      <c r="J106" s="25" t="n">
        <f aca="false">I106+J105</f>
        <v>3354847.06273118</v>
      </c>
      <c r="K106" s="25" t="n">
        <f aca="false">J106+K105</f>
        <v>3836553.95501186</v>
      </c>
      <c r="L106" s="25" t="n">
        <f aca="false">K106+L105</f>
        <v>4332712.05406097</v>
      </c>
      <c r="M106" s="25" t="n">
        <f aca="false">L106+M105</f>
        <v>4843754.89608155</v>
      </c>
      <c r="N106" s="25" t="n">
        <f aca="false">M106+N105</f>
        <v>5370129.02336274</v>
      </c>
      <c r="O106" s="25" t="n">
        <f aca="false">N106+O105</f>
        <v>5912294.37446237</v>
      </c>
      <c r="P106" s="25" t="n">
        <f aca="false">O106+P105</f>
        <v>6470724.686095</v>
      </c>
      <c r="Q106" s="25" t="n">
        <f aca="false">P106+Q105</f>
        <v>7000140.98260883</v>
      </c>
    </row>
    <row r="108" customFormat="false" ht="15" hidden="false" customHeight="false" outlineLevel="0" collapsed="false">
      <c r="A108" s="2" t="s">
        <v>132</v>
      </c>
      <c r="B108" s="24" t="n">
        <f aca="false">SUM(W86:W98)</f>
        <v>140.078833256188</v>
      </c>
    </row>
    <row r="109" customFormat="false" ht="15" hidden="false" customHeight="false" outlineLevel="0" collapsed="false">
      <c r="A109" s="2" t="s">
        <v>133</v>
      </c>
      <c r="B109" s="22" t="n">
        <f aca="false">B108*$Q$79</f>
        <v>144479.222108571</v>
      </c>
    </row>
    <row r="121" customFormat="false" ht="15" hidden="false" customHeight="false" outlineLevel="0" collapsed="false">
      <c r="A121" s="18" t="s">
        <v>135</v>
      </c>
      <c r="B121" s="19" t="str">
        <f aca="false">Scenarios!E$3</f>
        <v>Aggressive</v>
      </c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</row>
    <row r="122" customFormat="false" ht="15" hidden="false" customHeight="false" outlineLevel="0" collapsed="false">
      <c r="A122" s="3" t="s">
        <v>101</v>
      </c>
      <c r="C122" s="17" t="n">
        <v>1</v>
      </c>
      <c r="D122" s="17" t="n">
        <v>2</v>
      </c>
      <c r="E122" s="17" t="n">
        <v>3</v>
      </c>
      <c r="F122" s="17" t="n">
        <v>4</v>
      </c>
      <c r="G122" s="17" t="n">
        <v>5</v>
      </c>
      <c r="H122" s="17" t="n">
        <v>6</v>
      </c>
      <c r="I122" s="17" t="n">
        <v>7</v>
      </c>
      <c r="J122" s="17" t="n">
        <v>8</v>
      </c>
      <c r="K122" s="17" t="n">
        <v>9</v>
      </c>
      <c r="L122" s="17" t="n">
        <v>10</v>
      </c>
      <c r="M122" s="17" t="n">
        <v>11</v>
      </c>
      <c r="N122" s="17" t="n">
        <v>12</v>
      </c>
      <c r="O122" s="17" t="n">
        <v>13</v>
      </c>
      <c r="P122" s="17" t="n">
        <v>14</v>
      </c>
      <c r="Q122" s="17" t="n">
        <v>15</v>
      </c>
    </row>
    <row r="123" customFormat="false" ht="15" hidden="false" customHeight="false" outlineLevel="0" collapsed="false">
      <c r="A123" s="3" t="s">
        <v>102</v>
      </c>
      <c r="C123" s="17" t="n">
        <f aca="false">$B$6</f>
        <v>2026</v>
      </c>
      <c r="D123" s="17" t="n">
        <f aca="false">C123+1</f>
        <v>2027</v>
      </c>
      <c r="E123" s="17" t="n">
        <f aca="false">D123+1</f>
        <v>2028</v>
      </c>
      <c r="F123" s="17" t="n">
        <f aca="false">E123+1</f>
        <v>2029</v>
      </c>
      <c r="G123" s="17" t="n">
        <f aca="false">F123+1</f>
        <v>2030</v>
      </c>
      <c r="H123" s="17" t="n">
        <f aca="false">G123+1</f>
        <v>2031</v>
      </c>
      <c r="I123" s="17" t="n">
        <f aca="false">H123+1</f>
        <v>2032</v>
      </c>
      <c r="J123" s="17" t="n">
        <f aca="false">I123+1</f>
        <v>2033</v>
      </c>
      <c r="K123" s="17" t="n">
        <f aca="false">J123+1</f>
        <v>2034</v>
      </c>
      <c r="L123" s="17" t="n">
        <f aca="false">K123+1</f>
        <v>2035</v>
      </c>
      <c r="M123" s="17" t="n">
        <f aca="false">L123+1</f>
        <v>2036</v>
      </c>
      <c r="N123" s="17" t="n">
        <f aca="false">M123+1</f>
        <v>2037</v>
      </c>
      <c r="O123" s="17" t="n">
        <f aca="false">N123+1</f>
        <v>2038</v>
      </c>
      <c r="P123" s="17" t="n">
        <f aca="false">O123+1</f>
        <v>2039</v>
      </c>
      <c r="Q123" s="17" t="n">
        <f aca="false">P123+1</f>
        <v>2040</v>
      </c>
    </row>
    <row r="124" customFormat="false" ht="15" hidden="false" customHeight="false" outlineLevel="0" collapsed="false">
      <c r="A124" s="2" t="s">
        <v>103</v>
      </c>
      <c r="C124" s="21" t="n">
        <f aca="false">$B$17</f>
        <v>400</v>
      </c>
      <c r="D124" s="21" t="n">
        <f aca="false">C124*(1+Scenarios!$E$4)</f>
        <v>460</v>
      </c>
      <c r="E124" s="21" t="n">
        <f aca="false">D124*(1+Scenarios!$E$4)</f>
        <v>529</v>
      </c>
      <c r="F124" s="21" t="n">
        <f aca="false">E124*(1+Scenarios!$E$4)</f>
        <v>608.35</v>
      </c>
      <c r="G124" s="21" t="n">
        <f aca="false">F124*(1+Scenarios!$E$4)</f>
        <v>699.6025</v>
      </c>
      <c r="H124" s="21" t="n">
        <f aca="false">G124*(1+Scenarios!$E$4)</f>
        <v>804.542875</v>
      </c>
      <c r="I124" s="21" t="n">
        <f aca="false">H124*(1+Scenarios!$E$4)</f>
        <v>925.22430625</v>
      </c>
      <c r="J124" s="21" t="n">
        <f aca="false">I124*(1+Scenarios!$E$4)</f>
        <v>1064.0079521875</v>
      </c>
      <c r="K124" s="21" t="n">
        <f aca="false">J124*(1+Scenarios!$E$4)</f>
        <v>1223.60914501562</v>
      </c>
      <c r="L124" s="21" t="n">
        <f aca="false">K124*(1+Scenarios!$E$4)</f>
        <v>1407.15051676797</v>
      </c>
      <c r="M124" s="21" t="n">
        <f aca="false">L124*(1+Scenarios!$E$4)</f>
        <v>1618.22309428316</v>
      </c>
      <c r="N124" s="21" t="n">
        <f aca="false">M124*(1+Scenarios!$E$4)</f>
        <v>1860.95655842564</v>
      </c>
      <c r="O124" s="21" t="n">
        <f aca="false">N124*(1+Scenarios!$E$4)</f>
        <v>2140.10004218948</v>
      </c>
      <c r="P124" s="21" t="n">
        <f aca="false">O124*(1+Scenarios!$E$4)</f>
        <v>2461.1150485179</v>
      </c>
      <c r="Q124" s="21" t="n">
        <f aca="false">P124*(1+Scenarios!$E$4)</f>
        <v>2830.28230579559</v>
      </c>
    </row>
    <row r="125" customFormat="false" ht="15" hidden="false" customHeight="false" outlineLevel="0" collapsed="false">
      <c r="A125" s="2" t="s">
        <v>104</v>
      </c>
      <c r="C125" s="22" t="n">
        <f aca="false">$B$7</f>
        <v>210000</v>
      </c>
      <c r="D125" s="22" t="n">
        <f aca="false">C125*(1+$B$8*Scenarios!$E$5)</f>
        <v>219450</v>
      </c>
      <c r="E125" s="22" t="n">
        <f aca="false">D125*(1+$B$8*Scenarios!$E$5)</f>
        <v>229325.25</v>
      </c>
      <c r="F125" s="22" t="n">
        <f aca="false">E125*(1+$B$8*Scenarios!$E$5)</f>
        <v>239644.88625</v>
      </c>
      <c r="G125" s="22" t="n">
        <f aca="false">F125*(1+$B$8*Scenarios!$E$5)</f>
        <v>250428.90613125</v>
      </c>
      <c r="H125" s="22" t="n">
        <f aca="false">G125*(1+$B$8*Scenarios!$E$5)</f>
        <v>261698.206907156</v>
      </c>
      <c r="I125" s="22" t="n">
        <f aca="false">H125*(1+$B$8*Scenarios!$E$5)</f>
        <v>273474.626217978</v>
      </c>
      <c r="J125" s="22" t="n">
        <f aca="false">I125*(1+$B$8*Scenarios!$E$5)</f>
        <v>285780.984397787</v>
      </c>
      <c r="K125" s="22" t="n">
        <f aca="false">J125*(1+$B$8*Scenarios!$E$5)</f>
        <v>298641.128695688</v>
      </c>
      <c r="L125" s="22" t="n">
        <f aca="false">K125*(1+$B$8*Scenarios!$E$5)</f>
        <v>312079.979486993</v>
      </c>
      <c r="M125" s="22" t="n">
        <f aca="false">L125*(1+$B$8*Scenarios!$E$5)</f>
        <v>326123.578563908</v>
      </c>
      <c r="N125" s="22" t="n">
        <f aca="false">M125*(1+$B$8*Scenarios!$E$5)</f>
        <v>340799.139599284</v>
      </c>
      <c r="O125" s="22" t="n">
        <f aca="false">N125*(1+$B$8*Scenarios!$E$5)</f>
        <v>356135.100881252</v>
      </c>
      <c r="P125" s="22" t="n">
        <f aca="false">O125*(1+$B$8*Scenarios!$E$5)</f>
        <v>372161.180420908</v>
      </c>
      <c r="Q125" s="22" t="n">
        <f aca="false">P125*(1+$B$8*Scenarios!$E$5)</f>
        <v>388908.433539849</v>
      </c>
    </row>
    <row r="126" customFormat="false" ht="15" hidden="false" customHeight="false" outlineLevel="0" collapsed="false">
      <c r="A126" s="2" t="s">
        <v>105</v>
      </c>
      <c r="C126" s="22" t="n">
        <f aca="false">IF($B$10="Prior",0,C125)</f>
        <v>210000</v>
      </c>
      <c r="D126" s="22" t="n">
        <f aca="false">IF($B$10="Prior",C125,D125)</f>
        <v>219450</v>
      </c>
      <c r="E126" s="22" t="n">
        <f aca="false">IF($B$10="Prior",D125,E125)</f>
        <v>229325.25</v>
      </c>
      <c r="F126" s="22" t="n">
        <f aca="false">IF($B$10="Prior",E125,F125)</f>
        <v>239644.88625</v>
      </c>
      <c r="G126" s="22" t="n">
        <f aca="false">IF($B$10="Prior",F125,G125)</f>
        <v>250428.90613125</v>
      </c>
      <c r="H126" s="22" t="n">
        <f aca="false">IF($B$10="Prior",G125,H125)</f>
        <v>261698.206907156</v>
      </c>
      <c r="I126" s="22" t="n">
        <f aca="false">IF($B$10="Prior",H125,I125)</f>
        <v>273474.626217978</v>
      </c>
      <c r="J126" s="22" t="n">
        <f aca="false">IF($B$10="Prior",I125,J125)</f>
        <v>285780.984397787</v>
      </c>
      <c r="K126" s="22" t="n">
        <f aca="false">IF($B$10="Prior",J125,K125)</f>
        <v>298641.128695688</v>
      </c>
      <c r="L126" s="22" t="n">
        <f aca="false">IF($B$10="Prior",K125,L125)</f>
        <v>312079.979486993</v>
      </c>
      <c r="M126" s="22" t="n">
        <f aca="false">IF($B$10="Prior",L125,M125)</f>
        <v>326123.578563908</v>
      </c>
      <c r="N126" s="22" t="n">
        <f aca="false">IF($B$10="Prior",M125,N125)</f>
        <v>340799.139599284</v>
      </c>
      <c r="O126" s="22" t="n">
        <f aca="false">IF($B$10="Prior",N125,O125)</f>
        <v>356135.100881252</v>
      </c>
      <c r="P126" s="22" t="n">
        <f aca="false">IF($B$10="Prior",O125,P125)</f>
        <v>372161.180420908</v>
      </c>
      <c r="Q126" s="22" t="n">
        <f aca="false">IF($B$10="Prior",P125,Q125)</f>
        <v>388908.433539849</v>
      </c>
    </row>
    <row r="127" customFormat="false" ht="15" hidden="false" customHeight="false" outlineLevel="0" collapsed="false">
      <c r="A127" s="2" t="s">
        <v>106</v>
      </c>
      <c r="C127" s="22" t="n">
        <f aca="false">IF($B$11="No",0,C126*$B$9*Scenarios!$E$6)</f>
        <v>0</v>
      </c>
      <c r="D127" s="22" t="n">
        <f aca="false">D126*$B$9*Scenarios!$E$6</f>
        <v>54862.5</v>
      </c>
      <c r="E127" s="22" t="n">
        <f aca="false">E126*$B$9*Scenarios!$E$6</f>
        <v>57331.3125</v>
      </c>
      <c r="F127" s="22" t="n">
        <f aca="false">F126*$B$9*Scenarios!$E$6</f>
        <v>59911.2215625</v>
      </c>
      <c r="G127" s="22" t="n">
        <f aca="false">G126*$B$9*Scenarios!$E$6</f>
        <v>62607.2265328125</v>
      </c>
      <c r="H127" s="22" t="n">
        <f aca="false">H126*$B$9*Scenarios!$E$6</f>
        <v>65424.551726789</v>
      </c>
      <c r="I127" s="22" t="n">
        <f aca="false">I126*$B$9*Scenarios!$E$6</f>
        <v>68368.6565544945</v>
      </c>
      <c r="J127" s="22" t="n">
        <f aca="false">J126*$B$9*Scenarios!$E$6</f>
        <v>71445.2460994468</v>
      </c>
      <c r="K127" s="22" t="n">
        <f aca="false">K126*$B$9*Scenarios!$E$6</f>
        <v>74660.2821739219</v>
      </c>
      <c r="L127" s="22" t="n">
        <f aca="false">L126*$B$9*Scenarios!$E$6</f>
        <v>78019.9948717484</v>
      </c>
      <c r="M127" s="22" t="n">
        <f aca="false">M126*$B$9*Scenarios!$E$6</f>
        <v>81530.894640977</v>
      </c>
      <c r="N127" s="22" t="n">
        <f aca="false">N126*$B$9*Scenarios!$E$6</f>
        <v>85199.784899821</v>
      </c>
      <c r="O127" s="22" t="n">
        <f aca="false">O126*$B$9*Scenarios!$E$6</f>
        <v>89033.775220313</v>
      </c>
      <c r="P127" s="22" t="n">
        <f aca="false">P126*$B$9*Scenarios!$E$6</f>
        <v>93040.295105227</v>
      </c>
      <c r="Q127" s="22" t="n">
        <f aca="false">Q126*$B$9*Scenarios!$E$6</f>
        <v>97227.1083849622</v>
      </c>
    </row>
    <row r="128" customFormat="false" ht="15" hidden="false" customHeight="false" outlineLevel="0" collapsed="false">
      <c r="A128" s="2" t="s">
        <v>107</v>
      </c>
      <c r="C128" s="22" t="n">
        <f aca="false">$B$12*$B$13</f>
        <v>37500</v>
      </c>
      <c r="D128" s="22" t="n">
        <f aca="false">$B$12*$B$14</f>
        <v>37500</v>
      </c>
      <c r="E128" s="22" t="n">
        <f aca="false">$B$12*$B$15</f>
        <v>0</v>
      </c>
      <c r="F128" s="22" t="n">
        <v>0</v>
      </c>
      <c r="G128" s="22" t="n">
        <v>0</v>
      </c>
      <c r="H128" s="22" t="n">
        <v>0</v>
      </c>
      <c r="I128" s="22" t="n">
        <v>0</v>
      </c>
      <c r="J128" s="22" t="n">
        <v>0</v>
      </c>
      <c r="K128" s="22" t="n">
        <v>0</v>
      </c>
      <c r="L128" s="22" t="n">
        <v>0</v>
      </c>
      <c r="M128" s="22" t="n">
        <v>0</v>
      </c>
      <c r="N128" s="22" t="n">
        <v>0</v>
      </c>
      <c r="O128" s="22" t="n">
        <v>0</v>
      </c>
      <c r="P128" s="22" t="n">
        <v>0</v>
      </c>
      <c r="Q128" s="22" t="n">
        <v>0</v>
      </c>
    </row>
    <row r="130" customFormat="false" ht="15" hidden="false" customHeight="false" outlineLevel="0" collapsed="false">
      <c r="A130" s="3" t="s">
        <v>108</v>
      </c>
      <c r="S130" s="7" t="s">
        <v>109</v>
      </c>
      <c r="T130" s="7" t="s">
        <v>110</v>
      </c>
      <c r="U130" s="7" t="s">
        <v>111</v>
      </c>
      <c r="V130" s="7" t="s">
        <v>112</v>
      </c>
      <c r="W130" s="7" t="s">
        <v>113</v>
      </c>
    </row>
    <row r="131" customFormat="false" ht="15" hidden="false" customHeight="false" outlineLevel="0" collapsed="false">
      <c r="A131" s="2" t="s">
        <v>97</v>
      </c>
      <c r="C131" s="22" t="n">
        <f aca="false">IF(AND(C$123-$S131+1-$B$22&gt;=1,C$123-$S131+1-$B$22&lt;=8),INDEX($C$26:$J$26,1,C$123-$S131+1-$B$22),0)*$U131*C$124</f>
        <v>0</v>
      </c>
      <c r="D131" s="22" t="n">
        <f aca="false">IF(AND(D$123-$S131+1-$B$22&gt;=1,D$123-$S131+1-$B$22&lt;=8),INDEX($C$26:$J$26,1,D$123-$S131+1-$B$22),0)*$U131*D$124</f>
        <v>100625</v>
      </c>
      <c r="E131" s="22" t="n">
        <f aca="false">IF(AND(E$123-$S131+1-$B$22&gt;=1,E$123-$S131+1-$B$22&lt;=8),INDEX($C$26:$J$26,1,E$123-$S131+1-$B$22),0)*$U131*E$124</f>
        <v>115718.75</v>
      </c>
      <c r="F131" s="22" t="n">
        <f aca="false">IF(AND(F$123-$S131+1-$B$22&gt;=1,F$123-$S131+1-$B$22&lt;=8),INDEX($C$26:$J$26,1,F$123-$S131+1-$B$22),0)*$U131*F$124</f>
        <v>133076.5625</v>
      </c>
      <c r="G131" s="22" t="n">
        <f aca="false">IF(AND(G$123-$S131+1-$B$22&gt;=1,G$123-$S131+1-$B$22&lt;=8),INDEX($C$26:$J$26,1,G$123-$S131+1-$B$22),0)*$U131*G$124</f>
        <v>153038.046875</v>
      </c>
      <c r="H131" s="22" t="n">
        <f aca="false">IF(AND(H$123-$S131+1-$B$22&gt;=1,H$123-$S131+1-$B$22&lt;=8),INDEX($C$26:$J$26,1,H$123-$S131+1-$B$22),0)*$U131*H$124</f>
        <v>0</v>
      </c>
      <c r="I131" s="22" t="n">
        <f aca="false">IF(AND(I$123-$S131+1-$B$22&gt;=1,I$123-$S131+1-$B$22&lt;=8),INDEX($C$26:$J$26,1,I$123-$S131+1-$B$22),0)*$U131*I$124</f>
        <v>0</v>
      </c>
      <c r="J131" s="22" t="n">
        <f aca="false">IF(AND(J$123-$S131+1-$B$22&gt;=1,J$123-$S131+1-$B$22&lt;=8),INDEX($C$26:$J$26,1,J$123-$S131+1-$B$22),0)*$U131*J$124</f>
        <v>0</v>
      </c>
      <c r="K131" s="22" t="n">
        <f aca="false">IF(AND(K$123-$S131+1-$B$22&gt;=1,K$123-$S131+1-$B$22&lt;=8),INDEX($C$26:$J$26,1,K$123-$S131+1-$B$22),0)*$U131*K$124</f>
        <v>0</v>
      </c>
      <c r="L131" s="22" t="n">
        <f aca="false">IF(AND(L$123-$S131+1-$B$22&gt;=1,L$123-$S131+1-$B$22&lt;=8),INDEX($C$26:$J$26,1,L$123-$S131+1-$B$22),0)*$U131*L$124</f>
        <v>0</v>
      </c>
      <c r="M131" s="22" t="n">
        <f aca="false">IF(AND(M$123-$S131+1-$B$22&gt;=1,M$123-$S131+1-$B$22&lt;=8),INDEX($C$26:$J$26,1,M$123-$S131+1-$B$22),0)*$U131*M$124</f>
        <v>0</v>
      </c>
      <c r="N131" s="22" t="n">
        <f aca="false">IF(AND(N$123-$S131+1-$B$22&gt;=1,N$123-$S131+1-$B$22&lt;=8),INDEX($C$26:$J$26,1,N$123-$S131+1-$B$22),0)*$U131*N$124</f>
        <v>0</v>
      </c>
      <c r="O131" s="22" t="n">
        <f aca="false">IF(AND(O$123-$S131+1-$B$22&gt;=1,O$123-$S131+1-$B$22&lt;=8),INDEX($C$26:$J$26,1,O$123-$S131+1-$B$22),0)*$U131*O$124</f>
        <v>0</v>
      </c>
      <c r="P131" s="22" t="n">
        <f aca="false">IF(AND(P$123-$S131+1-$B$22&gt;=1,P$123-$S131+1-$B$22&lt;=8),INDEX($C$26:$J$26,1,P$123-$S131+1-$B$22),0)*$U131*P$124</f>
        <v>0</v>
      </c>
      <c r="Q131" s="22" t="n">
        <f aca="false">IF(AND(Q$123-$S131+1-$B$22&gt;=1,Q$123-$S131+1-$B$22&lt;=8),INDEX($C$26:$J$26,1,Q$123-$S131+1-$B$22),0)*$U131*Q$124</f>
        <v>0</v>
      </c>
      <c r="S131" s="23" t="n">
        <f aca="false">$B$6</f>
        <v>2026</v>
      </c>
      <c r="T131" s="22" t="n">
        <f aca="false">$B$18</f>
        <v>350000</v>
      </c>
      <c r="U131" s="24" t="n">
        <f aca="false">IFERROR(T131/$B$17,0)</f>
        <v>875</v>
      </c>
      <c r="V131" s="24" t="n">
        <f aca="false">SUMPRODUCT(($C$25:$J$25&lt;=$Q$123-$S131+1-$B$22)*$C$26:$J$26)*$U131</f>
        <v>875</v>
      </c>
      <c r="W131" s="24" t="n">
        <f aca="false">$U131-$V131</f>
        <v>0</v>
      </c>
    </row>
    <row r="132" customFormat="false" ht="15" hidden="false" customHeight="false" outlineLevel="0" collapsed="false">
      <c r="A132" s="2" t="s">
        <v>114</v>
      </c>
      <c r="C132" s="22" t="n">
        <f aca="false">IF(AND(C$123-$S132+1-$B$22&gt;=1,C$123-$S132+1-$B$22&lt;=8),INDEX($C$27:$J$27,1,C$123-$S132+1-$B$22),0)*$U132*C$124</f>
        <v>0</v>
      </c>
      <c r="D132" s="22" t="n">
        <f aca="false">IF(AND(D$123-$S132+1-$B$22&gt;=1,D$123-$S132+1-$B$22&lt;=8),INDEX($C$27:$J$27,1,D$123-$S132+1-$B$22),0)*$U132*D$124</f>
        <v>0</v>
      </c>
      <c r="E132" s="22" t="n">
        <f aca="false">IF(AND(E$123-$S132+1-$B$22&gt;=1,E$123-$S132+1-$B$22&lt;=8),INDEX($C$27:$J$27,1,E$123-$S132+1-$B$22),0)*$U132*E$124</f>
        <v>34500</v>
      </c>
      <c r="F132" s="22" t="n">
        <f aca="false">IF(AND(F$123-$S132+1-$B$22&gt;=1,F$123-$S132+1-$B$22&lt;=8),INDEX($C$27:$J$27,1,F$123-$S132+1-$B$22),0)*$U132*F$124</f>
        <v>39675</v>
      </c>
      <c r="G132" s="22" t="n">
        <f aca="false">IF(AND(G$123-$S132+1-$B$22&gt;=1,G$123-$S132+1-$B$22&lt;=8),INDEX($C$27:$J$27,1,G$123-$S132+1-$B$22),0)*$U132*G$124</f>
        <v>45626.25</v>
      </c>
      <c r="H132" s="22" t="n">
        <f aca="false">IF(AND(H$123-$S132+1-$B$22&gt;=1,H$123-$S132+1-$B$22&lt;=8),INDEX($C$27:$J$27,1,H$123-$S132+1-$B$22),0)*$U132*H$124</f>
        <v>52470.1875</v>
      </c>
      <c r="I132" s="22" t="n">
        <f aca="false">IF(AND(I$123-$S132+1-$B$22&gt;=1,I$123-$S132+1-$B$22&lt;=8),INDEX($C$27:$J$27,1,I$123-$S132+1-$B$22),0)*$U132*I$124</f>
        <v>0</v>
      </c>
      <c r="J132" s="22" t="n">
        <f aca="false">IF(AND(J$123-$S132+1-$B$22&gt;=1,J$123-$S132+1-$B$22&lt;=8),INDEX($C$27:$J$27,1,J$123-$S132+1-$B$22),0)*$U132*J$124</f>
        <v>0</v>
      </c>
      <c r="K132" s="22" t="n">
        <f aca="false">IF(AND(K$123-$S132+1-$B$22&gt;=1,K$123-$S132+1-$B$22&lt;=8),INDEX($C$27:$J$27,1,K$123-$S132+1-$B$22),0)*$U132*K$124</f>
        <v>0</v>
      </c>
      <c r="L132" s="22" t="n">
        <f aca="false">IF(AND(L$123-$S132+1-$B$22&gt;=1,L$123-$S132+1-$B$22&lt;=8),INDEX($C$27:$J$27,1,L$123-$S132+1-$B$22),0)*$U132*L$124</f>
        <v>0</v>
      </c>
      <c r="M132" s="22" t="n">
        <f aca="false">IF(AND(M$123-$S132+1-$B$22&gt;=1,M$123-$S132+1-$B$22&lt;=8),INDEX($C$27:$J$27,1,M$123-$S132+1-$B$22),0)*$U132*M$124</f>
        <v>0</v>
      </c>
      <c r="N132" s="22" t="n">
        <f aca="false">IF(AND(N$123-$S132+1-$B$22&gt;=1,N$123-$S132+1-$B$22&lt;=8),INDEX($C$27:$J$27,1,N$123-$S132+1-$B$22),0)*$U132*N$124</f>
        <v>0</v>
      </c>
      <c r="O132" s="22" t="n">
        <f aca="false">IF(AND(O$123-$S132+1-$B$22&gt;=1,O$123-$S132+1-$B$22&lt;=8),INDEX($C$27:$J$27,1,O$123-$S132+1-$B$22),0)*$U132*O$124</f>
        <v>0</v>
      </c>
      <c r="P132" s="22" t="n">
        <f aca="false">IF(AND(P$123-$S132+1-$B$22&gt;=1,P$123-$S132+1-$B$22&lt;=8),INDEX($C$27:$J$27,1,P$123-$S132+1-$B$22),0)*$U132*P$124</f>
        <v>0</v>
      </c>
      <c r="Q132" s="22" t="n">
        <f aca="false">IF(AND(Q$123-$S132+1-$B$22&gt;=1,Q$123-$S132+1-$B$22&lt;=8),INDEX($C$27:$J$27,1,Q$123-$S132+1-$B$22),0)*$U132*Q$124</f>
        <v>0</v>
      </c>
      <c r="S132" s="23" t="n">
        <f aca="false">$B$20+0</f>
        <v>2027</v>
      </c>
      <c r="T132" s="22" t="n">
        <f aca="false">IF($S132&gt;$B$20+Scenarios!$E$8-1,0,$B$19*(1+$B$21*Scenarios!$E$7)^0)</f>
        <v>120000</v>
      </c>
      <c r="U132" s="24" t="n">
        <f aca="false">IFERROR($T132/INDEX($C$124:$Q$124,1,MATCH($S132,$C$123:$Q$123,0)),0)</f>
        <v>260.869565217391</v>
      </c>
      <c r="V132" s="24" t="n">
        <f aca="false">SUMPRODUCT(($C$25:$J$25&lt;=$Q$123-$S132+1-$B$22)*$C$27:$J$27)*$U132</f>
        <v>260.869565217391</v>
      </c>
      <c r="W132" s="24" t="n">
        <f aca="false">$U132-$V132</f>
        <v>0</v>
      </c>
    </row>
    <row r="133" customFormat="false" ht="15" hidden="false" customHeight="false" outlineLevel="0" collapsed="false">
      <c r="A133" s="2" t="s">
        <v>115</v>
      </c>
      <c r="C133" s="22" t="n">
        <f aca="false">IF(AND(C$123-$S133+1-$B$22&gt;=1,C$123-$S133+1-$B$22&lt;=8),INDEX($C$27:$J$27,1,C$123-$S133+1-$B$22),0)*$U133*C$124</f>
        <v>0</v>
      </c>
      <c r="D133" s="22" t="n">
        <f aca="false">IF(AND(D$123-$S133+1-$B$22&gt;=1,D$123-$S133+1-$B$22&lt;=8),INDEX($C$27:$J$27,1,D$123-$S133+1-$B$22),0)*$U133*D$124</f>
        <v>0</v>
      </c>
      <c r="E133" s="22" t="n">
        <f aca="false">IF(AND(E$123-$S133+1-$B$22&gt;=1,E$123-$S133+1-$B$22&lt;=8),INDEX($C$27:$J$27,1,E$123-$S133+1-$B$22),0)*$U133*E$124</f>
        <v>0</v>
      </c>
      <c r="F133" s="22" t="n">
        <f aca="false">IF(AND(F$123-$S133+1-$B$22&gt;=1,F$123-$S133+1-$B$22&lt;=8),INDEX($C$27:$J$27,1,F$123-$S133+1-$B$22),0)*$U133*F$124</f>
        <v>35535</v>
      </c>
      <c r="G133" s="22" t="n">
        <f aca="false">IF(AND(G$123-$S133+1-$B$22&gt;=1,G$123-$S133+1-$B$22&lt;=8),INDEX($C$27:$J$27,1,G$123-$S133+1-$B$22),0)*$U133*G$124</f>
        <v>40865.25</v>
      </c>
      <c r="H133" s="22" t="n">
        <f aca="false">IF(AND(H$123-$S133+1-$B$22&gt;=1,H$123-$S133+1-$B$22&lt;=8),INDEX($C$27:$J$27,1,H$123-$S133+1-$B$22),0)*$U133*H$124</f>
        <v>46995.0375</v>
      </c>
      <c r="I133" s="22" t="n">
        <f aca="false">IF(AND(I$123-$S133+1-$B$22&gt;=1,I$123-$S133+1-$B$22&lt;=8),INDEX($C$27:$J$27,1,I$123-$S133+1-$B$22),0)*$U133*I$124</f>
        <v>54044.293125</v>
      </c>
      <c r="J133" s="22" t="n">
        <f aca="false">IF(AND(J$123-$S133+1-$B$22&gt;=1,J$123-$S133+1-$B$22&lt;=8),INDEX($C$27:$J$27,1,J$123-$S133+1-$B$22),0)*$U133*J$124</f>
        <v>0</v>
      </c>
      <c r="K133" s="22" t="n">
        <f aca="false">IF(AND(K$123-$S133+1-$B$22&gt;=1,K$123-$S133+1-$B$22&lt;=8),INDEX($C$27:$J$27,1,K$123-$S133+1-$B$22),0)*$U133*K$124</f>
        <v>0</v>
      </c>
      <c r="L133" s="22" t="n">
        <f aca="false">IF(AND(L$123-$S133+1-$B$22&gt;=1,L$123-$S133+1-$B$22&lt;=8),INDEX($C$27:$J$27,1,L$123-$S133+1-$B$22),0)*$U133*L$124</f>
        <v>0</v>
      </c>
      <c r="M133" s="22" t="n">
        <f aca="false">IF(AND(M$123-$S133+1-$B$22&gt;=1,M$123-$S133+1-$B$22&lt;=8),INDEX($C$27:$J$27,1,M$123-$S133+1-$B$22),0)*$U133*M$124</f>
        <v>0</v>
      </c>
      <c r="N133" s="22" t="n">
        <f aca="false">IF(AND(N$123-$S133+1-$B$22&gt;=1,N$123-$S133+1-$B$22&lt;=8),INDEX($C$27:$J$27,1,N$123-$S133+1-$B$22),0)*$U133*N$124</f>
        <v>0</v>
      </c>
      <c r="O133" s="22" t="n">
        <f aca="false">IF(AND(O$123-$S133+1-$B$22&gt;=1,O$123-$S133+1-$B$22&lt;=8),INDEX($C$27:$J$27,1,O$123-$S133+1-$B$22),0)*$U133*O$124</f>
        <v>0</v>
      </c>
      <c r="P133" s="22" t="n">
        <f aca="false">IF(AND(P$123-$S133+1-$B$22&gt;=1,P$123-$S133+1-$B$22&lt;=8),INDEX($C$27:$J$27,1,P$123-$S133+1-$B$22),0)*$U133*P$124</f>
        <v>0</v>
      </c>
      <c r="Q133" s="22" t="n">
        <f aca="false">IF(AND(Q$123-$S133+1-$B$22&gt;=1,Q$123-$S133+1-$B$22&lt;=8),INDEX($C$27:$J$27,1,Q$123-$S133+1-$B$22),0)*$U133*Q$124</f>
        <v>0</v>
      </c>
      <c r="S133" s="23" t="n">
        <f aca="false">$B$20+1</f>
        <v>2028</v>
      </c>
      <c r="T133" s="22" t="n">
        <f aca="false">IF($S133&gt;$B$20+Scenarios!$E$8-1,0,$B$19*(1+$B$21*Scenarios!$E$7)^1)</f>
        <v>123600</v>
      </c>
      <c r="U133" s="24" t="n">
        <f aca="false">IFERROR($T133/INDEX($C$124:$Q$124,1,MATCH($S133,$C$123:$Q$123,0)),0)</f>
        <v>233.648393194707</v>
      </c>
      <c r="V133" s="24" t="n">
        <f aca="false">SUMPRODUCT(($C$25:$J$25&lt;=$Q$123-$S133+1-$B$22)*$C$27:$J$27)*$U133</f>
        <v>233.648393194707</v>
      </c>
      <c r="W133" s="24" t="n">
        <f aca="false">$U133-$V133</f>
        <v>0</v>
      </c>
    </row>
    <row r="134" customFormat="false" ht="15" hidden="false" customHeight="false" outlineLevel="0" collapsed="false">
      <c r="A134" s="2" t="s">
        <v>116</v>
      </c>
      <c r="C134" s="22" t="n">
        <f aca="false">IF(AND(C$123-$S134+1-$B$22&gt;=1,C$123-$S134+1-$B$22&lt;=8),INDEX($C$27:$J$27,1,C$123-$S134+1-$B$22),0)*$U134*C$124</f>
        <v>0</v>
      </c>
      <c r="D134" s="22" t="n">
        <f aca="false">IF(AND(D$123-$S134+1-$B$22&gt;=1,D$123-$S134+1-$B$22&lt;=8),INDEX($C$27:$J$27,1,D$123-$S134+1-$B$22),0)*$U134*D$124</f>
        <v>0</v>
      </c>
      <c r="E134" s="22" t="n">
        <f aca="false">IF(AND(E$123-$S134+1-$B$22&gt;=1,E$123-$S134+1-$B$22&lt;=8),INDEX($C$27:$J$27,1,E$123-$S134+1-$B$22),0)*$U134*E$124</f>
        <v>0</v>
      </c>
      <c r="F134" s="22" t="n">
        <f aca="false">IF(AND(F$123-$S134+1-$B$22&gt;=1,F$123-$S134+1-$B$22&lt;=8),INDEX($C$27:$J$27,1,F$123-$S134+1-$B$22),0)*$U134*F$124</f>
        <v>0</v>
      </c>
      <c r="G134" s="22" t="n">
        <f aca="false">IF(AND(G$123-$S134+1-$B$22&gt;=1,G$123-$S134+1-$B$22&lt;=8),INDEX($C$27:$J$27,1,G$123-$S134+1-$B$22),0)*$U134*G$124</f>
        <v>36601.05</v>
      </c>
      <c r="H134" s="22" t="n">
        <f aca="false">IF(AND(H$123-$S134+1-$B$22&gt;=1,H$123-$S134+1-$B$22&lt;=8),INDEX($C$27:$J$27,1,H$123-$S134+1-$B$22),0)*$U134*H$124</f>
        <v>42091.2075</v>
      </c>
      <c r="I134" s="22" t="n">
        <f aca="false">IF(AND(I$123-$S134+1-$B$22&gt;=1,I$123-$S134+1-$B$22&lt;=8),INDEX($C$27:$J$27,1,I$123-$S134+1-$B$22),0)*$U134*I$124</f>
        <v>48404.888625</v>
      </c>
      <c r="J134" s="22" t="n">
        <f aca="false">IF(AND(J$123-$S134+1-$B$22&gt;=1,J$123-$S134+1-$B$22&lt;=8),INDEX($C$27:$J$27,1,J$123-$S134+1-$B$22),0)*$U134*J$124</f>
        <v>55665.62191875</v>
      </c>
      <c r="K134" s="22" t="n">
        <f aca="false">IF(AND(K$123-$S134+1-$B$22&gt;=1,K$123-$S134+1-$B$22&lt;=8),INDEX($C$27:$J$27,1,K$123-$S134+1-$B$22),0)*$U134*K$124</f>
        <v>0</v>
      </c>
      <c r="L134" s="22" t="n">
        <f aca="false">IF(AND(L$123-$S134+1-$B$22&gt;=1,L$123-$S134+1-$B$22&lt;=8),INDEX($C$27:$J$27,1,L$123-$S134+1-$B$22),0)*$U134*L$124</f>
        <v>0</v>
      </c>
      <c r="M134" s="22" t="n">
        <f aca="false">IF(AND(M$123-$S134+1-$B$22&gt;=1,M$123-$S134+1-$B$22&lt;=8),INDEX($C$27:$J$27,1,M$123-$S134+1-$B$22),0)*$U134*M$124</f>
        <v>0</v>
      </c>
      <c r="N134" s="22" t="n">
        <f aca="false">IF(AND(N$123-$S134+1-$B$22&gt;=1,N$123-$S134+1-$B$22&lt;=8),INDEX($C$27:$J$27,1,N$123-$S134+1-$B$22),0)*$U134*N$124</f>
        <v>0</v>
      </c>
      <c r="O134" s="22" t="n">
        <f aca="false">IF(AND(O$123-$S134+1-$B$22&gt;=1,O$123-$S134+1-$B$22&lt;=8),INDEX($C$27:$J$27,1,O$123-$S134+1-$B$22),0)*$U134*O$124</f>
        <v>0</v>
      </c>
      <c r="P134" s="22" t="n">
        <f aca="false">IF(AND(P$123-$S134+1-$B$22&gt;=1,P$123-$S134+1-$B$22&lt;=8),INDEX($C$27:$J$27,1,P$123-$S134+1-$B$22),0)*$U134*P$124</f>
        <v>0</v>
      </c>
      <c r="Q134" s="22" t="n">
        <f aca="false">IF(AND(Q$123-$S134+1-$B$22&gt;=1,Q$123-$S134+1-$B$22&lt;=8),INDEX($C$27:$J$27,1,Q$123-$S134+1-$B$22),0)*$U134*Q$124</f>
        <v>0</v>
      </c>
      <c r="S134" s="23" t="n">
        <f aca="false">$B$20+2</f>
        <v>2029</v>
      </c>
      <c r="T134" s="22" t="n">
        <f aca="false">IF($S134&gt;$B$20+Scenarios!$E$8-1,0,$B$19*(1+$B$21*Scenarios!$E$7)^2)</f>
        <v>127308</v>
      </c>
      <c r="U134" s="24" t="n">
        <f aca="false">IFERROR($T134/INDEX($C$124:$Q$124,1,MATCH($S134,$C$123:$Q$123,0)),0)</f>
        <v>209.267691296129</v>
      </c>
      <c r="V134" s="24" t="n">
        <f aca="false">SUMPRODUCT(($C$25:$J$25&lt;=$Q$123-$S134+1-$B$22)*$C$27:$J$27)*$U134</f>
        <v>209.267691296129</v>
      </c>
      <c r="W134" s="24" t="n">
        <f aca="false">$U134-$V134</f>
        <v>0</v>
      </c>
    </row>
    <row r="135" customFormat="false" ht="15" hidden="false" customHeight="false" outlineLevel="0" collapsed="false">
      <c r="A135" s="2" t="s">
        <v>117</v>
      </c>
      <c r="C135" s="22" t="n">
        <f aca="false">IF(AND(C$123-$S135+1-$B$22&gt;=1,C$123-$S135+1-$B$22&lt;=8),INDEX($C$27:$J$27,1,C$123-$S135+1-$B$22),0)*$U135*C$124</f>
        <v>0</v>
      </c>
      <c r="D135" s="22" t="n">
        <f aca="false">IF(AND(D$123-$S135+1-$B$22&gt;=1,D$123-$S135+1-$B$22&lt;=8),INDEX($C$27:$J$27,1,D$123-$S135+1-$B$22),0)*$U135*D$124</f>
        <v>0</v>
      </c>
      <c r="E135" s="22" t="n">
        <f aca="false">IF(AND(E$123-$S135+1-$B$22&gt;=1,E$123-$S135+1-$B$22&lt;=8),INDEX($C$27:$J$27,1,E$123-$S135+1-$B$22),0)*$U135*E$124</f>
        <v>0</v>
      </c>
      <c r="F135" s="22" t="n">
        <f aca="false">IF(AND(F$123-$S135+1-$B$22&gt;=1,F$123-$S135+1-$B$22&lt;=8),INDEX($C$27:$J$27,1,F$123-$S135+1-$B$22),0)*$U135*F$124</f>
        <v>0</v>
      </c>
      <c r="G135" s="22" t="n">
        <f aca="false">IF(AND(G$123-$S135+1-$B$22&gt;=1,G$123-$S135+1-$B$22&lt;=8),INDEX($C$27:$J$27,1,G$123-$S135+1-$B$22),0)*$U135*G$124</f>
        <v>0</v>
      </c>
      <c r="H135" s="22" t="n">
        <f aca="false">IF(AND(H$123-$S135+1-$B$22&gt;=1,H$123-$S135+1-$B$22&lt;=8),INDEX($C$27:$J$27,1,H$123-$S135+1-$B$22),0)*$U135*H$124</f>
        <v>37699.0815</v>
      </c>
      <c r="I135" s="22" t="n">
        <f aca="false">IF(AND(I$123-$S135+1-$B$22&gt;=1,I$123-$S135+1-$B$22&lt;=8),INDEX($C$27:$J$27,1,I$123-$S135+1-$B$22),0)*$U135*I$124</f>
        <v>43353.943725</v>
      </c>
      <c r="J135" s="22" t="n">
        <f aca="false">IF(AND(J$123-$S135+1-$B$22&gt;=1,J$123-$S135+1-$B$22&lt;=8),INDEX($C$27:$J$27,1,J$123-$S135+1-$B$22),0)*$U135*J$124</f>
        <v>49857.03528375</v>
      </c>
      <c r="K135" s="22" t="n">
        <f aca="false">IF(AND(K$123-$S135+1-$B$22&gt;=1,K$123-$S135+1-$B$22&lt;=8),INDEX($C$27:$J$27,1,K$123-$S135+1-$B$22),0)*$U135*K$124</f>
        <v>57335.5905763125</v>
      </c>
      <c r="L135" s="22" t="n">
        <f aca="false">IF(AND(L$123-$S135+1-$B$22&gt;=1,L$123-$S135+1-$B$22&lt;=8),INDEX($C$27:$J$27,1,L$123-$S135+1-$B$22),0)*$U135*L$124</f>
        <v>0</v>
      </c>
      <c r="M135" s="22" t="n">
        <f aca="false">IF(AND(M$123-$S135+1-$B$22&gt;=1,M$123-$S135+1-$B$22&lt;=8),INDEX($C$27:$J$27,1,M$123-$S135+1-$B$22),0)*$U135*M$124</f>
        <v>0</v>
      </c>
      <c r="N135" s="22" t="n">
        <f aca="false">IF(AND(N$123-$S135+1-$B$22&gt;=1,N$123-$S135+1-$B$22&lt;=8),INDEX($C$27:$J$27,1,N$123-$S135+1-$B$22),0)*$U135*N$124</f>
        <v>0</v>
      </c>
      <c r="O135" s="22" t="n">
        <f aca="false">IF(AND(O$123-$S135+1-$B$22&gt;=1,O$123-$S135+1-$B$22&lt;=8),INDEX($C$27:$J$27,1,O$123-$S135+1-$B$22),0)*$U135*O$124</f>
        <v>0</v>
      </c>
      <c r="P135" s="22" t="n">
        <f aca="false">IF(AND(P$123-$S135+1-$B$22&gt;=1,P$123-$S135+1-$B$22&lt;=8),INDEX($C$27:$J$27,1,P$123-$S135+1-$B$22),0)*$U135*P$124</f>
        <v>0</v>
      </c>
      <c r="Q135" s="22" t="n">
        <f aca="false">IF(AND(Q$123-$S135+1-$B$22&gt;=1,Q$123-$S135+1-$B$22&lt;=8),INDEX($C$27:$J$27,1,Q$123-$S135+1-$B$22),0)*$U135*Q$124</f>
        <v>0</v>
      </c>
      <c r="S135" s="23" t="n">
        <f aca="false">$B$20+3</f>
        <v>2030</v>
      </c>
      <c r="T135" s="22" t="n">
        <f aca="false">IF($S135&gt;$B$20+Scenarios!$E$8-1,0,$B$19*(1+$B$21*Scenarios!$E$7)^3)</f>
        <v>131127.24</v>
      </c>
      <c r="U135" s="24" t="n">
        <f aca="false">IFERROR($T135/INDEX($C$124:$Q$124,1,MATCH($S135,$C$123:$Q$123,0)),0)</f>
        <v>187.431062639142</v>
      </c>
      <c r="V135" s="24" t="n">
        <f aca="false">SUMPRODUCT(($C$25:$J$25&lt;=$Q$123-$S135+1-$B$22)*$C$27:$J$27)*$U135</f>
        <v>187.431062639142</v>
      </c>
      <c r="W135" s="24" t="n">
        <f aca="false">$U135-$V135</f>
        <v>0</v>
      </c>
    </row>
    <row r="136" customFormat="false" ht="15" hidden="false" customHeight="false" outlineLevel="0" collapsed="false">
      <c r="A136" s="2" t="s">
        <v>118</v>
      </c>
      <c r="C136" s="22" t="n">
        <f aca="false">IF(AND(C$123-$S136+1-$B$22&gt;=1,C$123-$S136+1-$B$22&lt;=8),INDEX($C$27:$J$27,1,C$123-$S136+1-$B$22),0)*$U136*C$124</f>
        <v>0</v>
      </c>
      <c r="D136" s="22" t="n">
        <f aca="false">IF(AND(D$123-$S136+1-$B$22&gt;=1,D$123-$S136+1-$B$22&lt;=8),INDEX($C$27:$J$27,1,D$123-$S136+1-$B$22),0)*$U136*D$124</f>
        <v>0</v>
      </c>
      <c r="E136" s="22" t="n">
        <f aca="false">IF(AND(E$123-$S136+1-$B$22&gt;=1,E$123-$S136+1-$B$22&lt;=8),INDEX($C$27:$J$27,1,E$123-$S136+1-$B$22),0)*$U136*E$124</f>
        <v>0</v>
      </c>
      <c r="F136" s="22" t="n">
        <f aca="false">IF(AND(F$123-$S136+1-$B$22&gt;=1,F$123-$S136+1-$B$22&lt;=8),INDEX($C$27:$J$27,1,F$123-$S136+1-$B$22),0)*$U136*F$124</f>
        <v>0</v>
      </c>
      <c r="G136" s="22" t="n">
        <f aca="false">IF(AND(G$123-$S136+1-$B$22&gt;=1,G$123-$S136+1-$B$22&lt;=8),INDEX($C$27:$J$27,1,G$123-$S136+1-$B$22),0)*$U136*G$124</f>
        <v>0</v>
      </c>
      <c r="H136" s="22" t="n">
        <f aca="false">IF(AND(H$123-$S136+1-$B$22&gt;=1,H$123-$S136+1-$B$22&lt;=8),INDEX($C$27:$J$27,1,H$123-$S136+1-$B$22),0)*$U136*H$124</f>
        <v>0</v>
      </c>
      <c r="I136" s="22" t="n">
        <f aca="false">IF(AND(I$123-$S136+1-$B$22&gt;=1,I$123-$S136+1-$B$22&lt;=8),INDEX($C$27:$J$27,1,I$123-$S136+1-$B$22),0)*$U136*I$124</f>
        <v>38830.053945</v>
      </c>
      <c r="J136" s="22" t="n">
        <f aca="false">IF(AND(J$123-$S136+1-$B$22&gt;=1,J$123-$S136+1-$B$22&lt;=8),INDEX($C$27:$J$27,1,J$123-$S136+1-$B$22),0)*$U136*J$124</f>
        <v>44654.56203675</v>
      </c>
      <c r="K136" s="22" t="n">
        <f aca="false">IF(AND(K$123-$S136+1-$B$22&gt;=1,K$123-$S136+1-$B$22&lt;=8),INDEX($C$27:$J$27,1,K$123-$S136+1-$B$22),0)*$U136*K$124</f>
        <v>51352.7463422625</v>
      </c>
      <c r="L136" s="22" t="n">
        <f aca="false">IF(AND(L$123-$S136+1-$B$22&gt;=1,L$123-$S136+1-$B$22&lt;=8),INDEX($C$27:$J$27,1,L$123-$S136+1-$B$22),0)*$U136*L$124</f>
        <v>59055.6582936019</v>
      </c>
      <c r="M136" s="22" t="n">
        <f aca="false">IF(AND(M$123-$S136+1-$B$22&gt;=1,M$123-$S136+1-$B$22&lt;=8),INDEX($C$27:$J$27,1,M$123-$S136+1-$B$22),0)*$U136*M$124</f>
        <v>0</v>
      </c>
      <c r="N136" s="22" t="n">
        <f aca="false">IF(AND(N$123-$S136+1-$B$22&gt;=1,N$123-$S136+1-$B$22&lt;=8),INDEX($C$27:$J$27,1,N$123-$S136+1-$B$22),0)*$U136*N$124</f>
        <v>0</v>
      </c>
      <c r="O136" s="22" t="n">
        <f aca="false">IF(AND(O$123-$S136+1-$B$22&gt;=1,O$123-$S136+1-$B$22&lt;=8),INDEX($C$27:$J$27,1,O$123-$S136+1-$B$22),0)*$U136*O$124</f>
        <v>0</v>
      </c>
      <c r="P136" s="22" t="n">
        <f aca="false">IF(AND(P$123-$S136+1-$B$22&gt;=1,P$123-$S136+1-$B$22&lt;=8),INDEX($C$27:$J$27,1,P$123-$S136+1-$B$22),0)*$U136*P$124</f>
        <v>0</v>
      </c>
      <c r="Q136" s="22" t="n">
        <f aca="false">IF(AND(Q$123-$S136+1-$B$22&gt;=1,Q$123-$S136+1-$B$22&lt;=8),INDEX($C$27:$J$27,1,Q$123-$S136+1-$B$22),0)*$U136*Q$124</f>
        <v>0</v>
      </c>
      <c r="S136" s="23" t="n">
        <f aca="false">$B$20+4</f>
        <v>2031</v>
      </c>
      <c r="T136" s="22" t="n">
        <f aca="false">IF($S136&gt;$B$20+Scenarios!$E$8-1,0,$B$19*(1+$B$21*Scenarios!$E$7)^4)</f>
        <v>135061.0572</v>
      </c>
      <c r="U136" s="24" t="n">
        <f aca="false">IFERROR($T136/INDEX($C$124:$Q$124,1,MATCH($S136,$C$123:$Q$123,0)),0)</f>
        <v>167.873038711579</v>
      </c>
      <c r="V136" s="24" t="n">
        <f aca="false">SUMPRODUCT(($C$25:$J$25&lt;=$Q$123-$S136+1-$B$22)*$C$27:$J$27)*$U136</f>
        <v>167.873038711579</v>
      </c>
      <c r="W136" s="24" t="n">
        <f aca="false">$U136-$V136</f>
        <v>0</v>
      </c>
    </row>
    <row r="137" customFormat="false" ht="15" hidden="false" customHeight="false" outlineLevel="0" collapsed="false">
      <c r="A137" s="2" t="s">
        <v>119</v>
      </c>
      <c r="C137" s="22" t="n">
        <f aca="false">IF(AND(C$123-$S137+1-$B$22&gt;=1,C$123-$S137+1-$B$22&lt;=8),INDEX($C$27:$J$27,1,C$123-$S137+1-$B$22),0)*$U137*C$124</f>
        <v>0</v>
      </c>
      <c r="D137" s="22" t="n">
        <f aca="false">IF(AND(D$123-$S137+1-$B$22&gt;=1,D$123-$S137+1-$B$22&lt;=8),INDEX($C$27:$J$27,1,D$123-$S137+1-$B$22),0)*$U137*D$124</f>
        <v>0</v>
      </c>
      <c r="E137" s="22" t="n">
        <f aca="false">IF(AND(E$123-$S137+1-$B$22&gt;=1,E$123-$S137+1-$B$22&lt;=8),INDEX($C$27:$J$27,1,E$123-$S137+1-$B$22),0)*$U137*E$124</f>
        <v>0</v>
      </c>
      <c r="F137" s="22" t="n">
        <f aca="false">IF(AND(F$123-$S137+1-$B$22&gt;=1,F$123-$S137+1-$B$22&lt;=8),INDEX($C$27:$J$27,1,F$123-$S137+1-$B$22),0)*$U137*F$124</f>
        <v>0</v>
      </c>
      <c r="G137" s="22" t="n">
        <f aca="false">IF(AND(G$123-$S137+1-$B$22&gt;=1,G$123-$S137+1-$B$22&lt;=8),INDEX($C$27:$J$27,1,G$123-$S137+1-$B$22),0)*$U137*G$124</f>
        <v>0</v>
      </c>
      <c r="H137" s="22" t="n">
        <f aca="false">IF(AND(H$123-$S137+1-$B$22&gt;=1,H$123-$S137+1-$B$22&lt;=8),INDEX($C$27:$J$27,1,H$123-$S137+1-$B$22),0)*$U137*H$124</f>
        <v>0</v>
      </c>
      <c r="I137" s="22" t="n">
        <f aca="false">IF(AND(I$123-$S137+1-$B$22&gt;=1,I$123-$S137+1-$B$22&lt;=8),INDEX($C$27:$J$27,1,I$123-$S137+1-$B$22),0)*$U137*I$124</f>
        <v>0</v>
      </c>
      <c r="J137" s="22" t="n">
        <f aca="false">IF(AND(J$123-$S137+1-$B$22&gt;=1,J$123-$S137+1-$B$22&lt;=8),INDEX($C$27:$J$27,1,J$123-$S137+1-$B$22),0)*$U137*J$124</f>
        <v>39994.95556335</v>
      </c>
      <c r="K137" s="22" t="n">
        <f aca="false">IF(AND(K$123-$S137+1-$B$22&gt;=1,K$123-$S137+1-$B$22&lt;=8),INDEX($C$27:$J$27,1,K$123-$S137+1-$B$22),0)*$U137*K$124</f>
        <v>45994.1988978525</v>
      </c>
      <c r="L137" s="22" t="n">
        <f aca="false">IF(AND(L$123-$S137+1-$B$22&gt;=1,L$123-$S137+1-$B$22&lt;=8),INDEX($C$27:$J$27,1,L$123-$S137+1-$B$22),0)*$U137*L$124</f>
        <v>52893.3287325304</v>
      </c>
      <c r="M137" s="22" t="n">
        <f aca="false">IF(AND(M$123-$S137+1-$B$22&gt;=1,M$123-$S137+1-$B$22&lt;=8),INDEX($C$27:$J$27,1,M$123-$S137+1-$B$22),0)*$U137*M$124</f>
        <v>60827.3280424099</v>
      </c>
      <c r="N137" s="22" t="n">
        <f aca="false">IF(AND(N$123-$S137+1-$B$22&gt;=1,N$123-$S137+1-$B$22&lt;=8),INDEX($C$27:$J$27,1,N$123-$S137+1-$B$22),0)*$U137*N$124</f>
        <v>0</v>
      </c>
      <c r="O137" s="22" t="n">
        <f aca="false">IF(AND(O$123-$S137+1-$B$22&gt;=1,O$123-$S137+1-$B$22&lt;=8),INDEX($C$27:$J$27,1,O$123-$S137+1-$B$22),0)*$U137*O$124</f>
        <v>0</v>
      </c>
      <c r="P137" s="22" t="n">
        <f aca="false">IF(AND(P$123-$S137+1-$B$22&gt;=1,P$123-$S137+1-$B$22&lt;=8),INDEX($C$27:$J$27,1,P$123-$S137+1-$B$22),0)*$U137*P$124</f>
        <v>0</v>
      </c>
      <c r="Q137" s="22" t="n">
        <f aca="false">IF(AND(Q$123-$S137+1-$B$22&gt;=1,Q$123-$S137+1-$B$22&lt;=8),INDEX($C$27:$J$27,1,Q$123-$S137+1-$B$22),0)*$U137*Q$124</f>
        <v>0</v>
      </c>
      <c r="S137" s="23" t="n">
        <f aca="false">$B$20+5</f>
        <v>2032</v>
      </c>
      <c r="T137" s="22" t="n">
        <f aca="false">IF($S137&gt;$B$20+Scenarios!$E$8-1,0,$B$19*(1+$B$21*Scenarios!$E$7)^5)</f>
        <v>139112.888916</v>
      </c>
      <c r="U137" s="24" t="n">
        <f aca="false">IFERROR($T137/INDEX($C$124:$Q$124,1,MATCH($S137,$C$123:$Q$123,0)),0)</f>
        <v>150.355852063414</v>
      </c>
      <c r="V137" s="24" t="n">
        <f aca="false">SUMPRODUCT(($C$25:$J$25&lt;=$Q$123-$S137+1-$B$22)*$C$27:$J$27)*$U137</f>
        <v>150.355852063414</v>
      </c>
      <c r="W137" s="24" t="n">
        <f aca="false">$U137-$V137</f>
        <v>0</v>
      </c>
    </row>
    <row r="138" customFormat="false" ht="15" hidden="false" customHeight="false" outlineLevel="0" collapsed="false">
      <c r="A138" s="2" t="s">
        <v>120</v>
      </c>
      <c r="C138" s="22" t="n">
        <f aca="false">IF(AND(C$123-$S138+1-$B$22&gt;=1,C$123-$S138+1-$B$22&lt;=8),INDEX($C$27:$J$27,1,C$123-$S138+1-$B$22),0)*$U138*C$124</f>
        <v>0</v>
      </c>
      <c r="D138" s="22" t="n">
        <f aca="false">IF(AND(D$123-$S138+1-$B$22&gt;=1,D$123-$S138+1-$B$22&lt;=8),INDEX($C$27:$J$27,1,D$123-$S138+1-$B$22),0)*$U138*D$124</f>
        <v>0</v>
      </c>
      <c r="E138" s="22" t="n">
        <f aca="false">IF(AND(E$123-$S138+1-$B$22&gt;=1,E$123-$S138+1-$B$22&lt;=8),INDEX($C$27:$J$27,1,E$123-$S138+1-$B$22),0)*$U138*E$124</f>
        <v>0</v>
      </c>
      <c r="F138" s="22" t="n">
        <f aca="false">IF(AND(F$123-$S138+1-$B$22&gt;=1,F$123-$S138+1-$B$22&lt;=8),INDEX($C$27:$J$27,1,F$123-$S138+1-$B$22),0)*$U138*F$124</f>
        <v>0</v>
      </c>
      <c r="G138" s="22" t="n">
        <f aca="false">IF(AND(G$123-$S138+1-$B$22&gt;=1,G$123-$S138+1-$B$22&lt;=8),INDEX($C$27:$J$27,1,G$123-$S138+1-$B$22),0)*$U138*G$124</f>
        <v>0</v>
      </c>
      <c r="H138" s="22" t="n">
        <f aca="false">IF(AND(H$123-$S138+1-$B$22&gt;=1,H$123-$S138+1-$B$22&lt;=8),INDEX($C$27:$J$27,1,H$123-$S138+1-$B$22),0)*$U138*H$124</f>
        <v>0</v>
      </c>
      <c r="I138" s="22" t="n">
        <f aca="false">IF(AND(I$123-$S138+1-$B$22&gt;=1,I$123-$S138+1-$B$22&lt;=8),INDEX($C$27:$J$27,1,I$123-$S138+1-$B$22),0)*$U138*I$124</f>
        <v>0</v>
      </c>
      <c r="J138" s="22" t="n">
        <f aca="false">IF(AND(J$123-$S138+1-$B$22&gt;=1,J$123-$S138+1-$B$22&lt;=8),INDEX($C$27:$J$27,1,J$123-$S138+1-$B$22),0)*$U138*J$124</f>
        <v>0</v>
      </c>
      <c r="K138" s="22" t="n">
        <f aca="false">IF(AND(K$123-$S138+1-$B$22&gt;=1,K$123-$S138+1-$B$22&lt;=8),INDEX($C$27:$J$27,1,K$123-$S138+1-$B$22),0)*$U138*K$124</f>
        <v>41194.8042302505</v>
      </c>
      <c r="L138" s="22" t="n">
        <f aca="false">IF(AND(L$123-$S138+1-$B$22&gt;=1,L$123-$S138+1-$B$22&lt;=8),INDEX($C$27:$J$27,1,L$123-$S138+1-$B$22),0)*$U138*L$124</f>
        <v>47374.0248647881</v>
      </c>
      <c r="M138" s="22" t="n">
        <f aca="false">IF(AND(M$123-$S138+1-$B$22&gt;=1,M$123-$S138+1-$B$22&lt;=8),INDEX($C$27:$J$27,1,M$123-$S138+1-$B$22),0)*$U138*M$124</f>
        <v>54480.1285945063</v>
      </c>
      <c r="N138" s="22" t="n">
        <f aca="false">IF(AND(N$123-$S138+1-$B$22&gt;=1,N$123-$S138+1-$B$22&lt;=8),INDEX($C$27:$J$27,1,N$123-$S138+1-$B$22),0)*$U138*N$124</f>
        <v>62652.1478836822</v>
      </c>
      <c r="O138" s="22" t="n">
        <f aca="false">IF(AND(O$123-$S138+1-$B$22&gt;=1,O$123-$S138+1-$B$22&lt;=8),INDEX($C$27:$J$27,1,O$123-$S138+1-$B$22),0)*$U138*O$124</f>
        <v>0</v>
      </c>
      <c r="P138" s="22" t="n">
        <f aca="false">IF(AND(P$123-$S138+1-$B$22&gt;=1,P$123-$S138+1-$B$22&lt;=8),INDEX($C$27:$J$27,1,P$123-$S138+1-$B$22),0)*$U138*P$124</f>
        <v>0</v>
      </c>
      <c r="Q138" s="22" t="n">
        <f aca="false">IF(AND(Q$123-$S138+1-$B$22&gt;=1,Q$123-$S138+1-$B$22&lt;=8),INDEX($C$27:$J$27,1,Q$123-$S138+1-$B$22),0)*$U138*Q$124</f>
        <v>0</v>
      </c>
      <c r="S138" s="23" t="n">
        <f aca="false">$B$20+6</f>
        <v>2033</v>
      </c>
      <c r="T138" s="22" t="n">
        <f aca="false">IF($S138&gt;$B$20+Scenarios!$E$8-1,0,$B$19*(1+$B$21*Scenarios!$E$7)^6)</f>
        <v>143286.27558348</v>
      </c>
      <c r="U138" s="24" t="n">
        <f aca="false">IFERROR($T138/INDEX($C$124:$Q$124,1,MATCH($S138,$C$123:$Q$123,0)),0)</f>
        <v>134.666545761145</v>
      </c>
      <c r="V138" s="24" t="n">
        <f aca="false">SUMPRODUCT(($C$25:$J$25&lt;=$Q$123-$S138+1-$B$22)*$C$27:$J$27)*$U138</f>
        <v>134.666545761145</v>
      </c>
      <c r="W138" s="24" t="n">
        <f aca="false">$U138-$V138</f>
        <v>0</v>
      </c>
    </row>
    <row r="139" customFormat="false" ht="15" hidden="false" customHeight="false" outlineLevel="0" collapsed="false">
      <c r="A139" s="2" t="s">
        <v>121</v>
      </c>
      <c r="C139" s="22" t="n">
        <f aca="false">IF(AND(C$123-$S139+1-$B$22&gt;=1,C$123-$S139+1-$B$22&lt;=8),INDEX($C$27:$J$27,1,C$123-$S139+1-$B$22),0)*$U139*C$124</f>
        <v>0</v>
      </c>
      <c r="D139" s="22" t="n">
        <f aca="false">IF(AND(D$123-$S139+1-$B$22&gt;=1,D$123-$S139+1-$B$22&lt;=8),INDEX($C$27:$J$27,1,D$123-$S139+1-$B$22),0)*$U139*D$124</f>
        <v>0</v>
      </c>
      <c r="E139" s="22" t="n">
        <f aca="false">IF(AND(E$123-$S139+1-$B$22&gt;=1,E$123-$S139+1-$B$22&lt;=8),INDEX($C$27:$J$27,1,E$123-$S139+1-$B$22),0)*$U139*E$124</f>
        <v>0</v>
      </c>
      <c r="F139" s="22" t="n">
        <f aca="false">IF(AND(F$123-$S139+1-$B$22&gt;=1,F$123-$S139+1-$B$22&lt;=8),INDEX($C$27:$J$27,1,F$123-$S139+1-$B$22),0)*$U139*F$124</f>
        <v>0</v>
      </c>
      <c r="G139" s="22" t="n">
        <f aca="false">IF(AND(G$123-$S139+1-$B$22&gt;=1,G$123-$S139+1-$B$22&lt;=8),INDEX($C$27:$J$27,1,G$123-$S139+1-$B$22),0)*$U139*G$124</f>
        <v>0</v>
      </c>
      <c r="H139" s="22" t="n">
        <f aca="false">IF(AND(H$123-$S139+1-$B$22&gt;=1,H$123-$S139+1-$B$22&lt;=8),INDEX($C$27:$J$27,1,H$123-$S139+1-$B$22),0)*$U139*H$124</f>
        <v>0</v>
      </c>
      <c r="I139" s="22" t="n">
        <f aca="false">IF(AND(I$123-$S139+1-$B$22&gt;=1,I$123-$S139+1-$B$22&lt;=8),INDEX($C$27:$J$27,1,I$123-$S139+1-$B$22),0)*$U139*I$124</f>
        <v>0</v>
      </c>
      <c r="J139" s="22" t="n">
        <f aca="false">IF(AND(J$123-$S139+1-$B$22&gt;=1,J$123-$S139+1-$B$22&lt;=8),INDEX($C$27:$J$27,1,J$123-$S139+1-$B$22),0)*$U139*J$124</f>
        <v>0</v>
      </c>
      <c r="K139" s="22" t="n">
        <f aca="false">IF(AND(K$123-$S139+1-$B$22&gt;=1,K$123-$S139+1-$B$22&lt;=8),INDEX($C$27:$J$27,1,K$123-$S139+1-$B$22),0)*$U139*K$124</f>
        <v>0</v>
      </c>
      <c r="L139" s="22" t="n">
        <f aca="false">IF(AND(L$123-$S139+1-$B$22&gt;=1,L$123-$S139+1-$B$22&lt;=8),INDEX($C$27:$J$27,1,L$123-$S139+1-$B$22),0)*$U139*L$124</f>
        <v>42430.648357158</v>
      </c>
      <c r="M139" s="22" t="n">
        <f aca="false">IF(AND(M$123-$S139+1-$B$22&gt;=1,M$123-$S139+1-$B$22&lt;=8),INDEX($C$27:$J$27,1,M$123-$S139+1-$B$22),0)*$U139*M$124</f>
        <v>48795.2456107317</v>
      </c>
      <c r="N139" s="22" t="n">
        <f aca="false">IF(AND(N$123-$S139+1-$B$22&gt;=1,N$123-$S139+1-$B$22&lt;=8),INDEX($C$27:$J$27,1,N$123-$S139+1-$B$22),0)*$U139*N$124</f>
        <v>56114.5324523415</v>
      </c>
      <c r="O139" s="22" t="n">
        <f aca="false">IF(AND(O$123-$S139+1-$B$22&gt;=1,O$123-$S139+1-$B$22&lt;=8),INDEX($C$27:$J$27,1,O$123-$S139+1-$B$22),0)*$U139*O$124</f>
        <v>64531.7123201927</v>
      </c>
      <c r="P139" s="22" t="n">
        <f aca="false">IF(AND(P$123-$S139+1-$B$22&gt;=1,P$123-$S139+1-$B$22&lt;=8),INDEX($C$27:$J$27,1,P$123-$S139+1-$B$22),0)*$U139*P$124</f>
        <v>0</v>
      </c>
      <c r="Q139" s="22" t="n">
        <f aca="false">IF(AND(Q$123-$S139+1-$B$22&gt;=1,Q$123-$S139+1-$B$22&lt;=8),INDEX($C$27:$J$27,1,Q$123-$S139+1-$B$22),0)*$U139*Q$124</f>
        <v>0</v>
      </c>
      <c r="S139" s="23" t="n">
        <f aca="false">$B$20+7</f>
        <v>2034</v>
      </c>
      <c r="T139" s="22" t="n">
        <f aca="false">IF($S139&gt;$B$20+Scenarios!$E$8-1,0,$B$19*(1+$B$21*Scenarios!$E$7)^7)</f>
        <v>147584.863850984</v>
      </c>
      <c r="U139" s="24" t="n">
        <f aca="false">IFERROR($T139/INDEX($C$124:$Q$124,1,MATCH($S139,$C$123:$Q$123,0)),0)</f>
        <v>120.61438446433</v>
      </c>
      <c r="V139" s="24" t="n">
        <f aca="false">SUMPRODUCT(($C$25:$J$25&lt;=$Q$123-$S139+1-$B$22)*$C$27:$J$27)*$U139</f>
        <v>120.61438446433</v>
      </c>
      <c r="W139" s="24" t="n">
        <f aca="false">$U139-$V139</f>
        <v>0</v>
      </c>
    </row>
    <row r="140" customFormat="false" ht="15" hidden="false" customHeight="false" outlineLevel="0" collapsed="false">
      <c r="A140" s="2" t="s">
        <v>122</v>
      </c>
      <c r="C140" s="22" t="n">
        <f aca="false">IF(AND(C$123-$S140+1-$B$22&gt;=1,C$123-$S140+1-$B$22&lt;=8),INDEX($C$27:$J$27,1,C$123-$S140+1-$B$22),0)*$U140*C$124</f>
        <v>0</v>
      </c>
      <c r="D140" s="22" t="n">
        <f aca="false">IF(AND(D$123-$S140+1-$B$22&gt;=1,D$123-$S140+1-$B$22&lt;=8),INDEX($C$27:$J$27,1,D$123-$S140+1-$B$22),0)*$U140*D$124</f>
        <v>0</v>
      </c>
      <c r="E140" s="22" t="n">
        <f aca="false">IF(AND(E$123-$S140+1-$B$22&gt;=1,E$123-$S140+1-$B$22&lt;=8),INDEX($C$27:$J$27,1,E$123-$S140+1-$B$22),0)*$U140*E$124</f>
        <v>0</v>
      </c>
      <c r="F140" s="22" t="n">
        <f aca="false">IF(AND(F$123-$S140+1-$B$22&gt;=1,F$123-$S140+1-$B$22&lt;=8),INDEX($C$27:$J$27,1,F$123-$S140+1-$B$22),0)*$U140*F$124</f>
        <v>0</v>
      </c>
      <c r="G140" s="22" t="n">
        <f aca="false">IF(AND(G$123-$S140+1-$B$22&gt;=1,G$123-$S140+1-$B$22&lt;=8),INDEX($C$27:$J$27,1,G$123-$S140+1-$B$22),0)*$U140*G$124</f>
        <v>0</v>
      </c>
      <c r="H140" s="22" t="n">
        <f aca="false">IF(AND(H$123-$S140+1-$B$22&gt;=1,H$123-$S140+1-$B$22&lt;=8),INDEX($C$27:$J$27,1,H$123-$S140+1-$B$22),0)*$U140*H$124</f>
        <v>0</v>
      </c>
      <c r="I140" s="22" t="n">
        <f aca="false">IF(AND(I$123-$S140+1-$B$22&gt;=1,I$123-$S140+1-$B$22&lt;=8),INDEX($C$27:$J$27,1,I$123-$S140+1-$B$22),0)*$U140*I$124</f>
        <v>0</v>
      </c>
      <c r="J140" s="22" t="n">
        <f aca="false">IF(AND(J$123-$S140+1-$B$22&gt;=1,J$123-$S140+1-$B$22&lt;=8),INDEX($C$27:$J$27,1,J$123-$S140+1-$B$22),0)*$U140*J$124</f>
        <v>0</v>
      </c>
      <c r="K140" s="22" t="n">
        <f aca="false">IF(AND(K$123-$S140+1-$B$22&gt;=1,K$123-$S140+1-$B$22&lt;=8),INDEX($C$27:$J$27,1,K$123-$S140+1-$B$22),0)*$U140*K$124</f>
        <v>0</v>
      </c>
      <c r="L140" s="22" t="n">
        <f aca="false">IF(AND(L$123-$S140+1-$B$22&gt;=1,L$123-$S140+1-$B$22&lt;=8),INDEX($C$27:$J$27,1,L$123-$S140+1-$B$22),0)*$U140*L$124</f>
        <v>0</v>
      </c>
      <c r="M140" s="22" t="n">
        <f aca="false">IF(AND(M$123-$S140+1-$B$22&gt;=1,M$123-$S140+1-$B$22&lt;=8),INDEX($C$27:$J$27,1,M$123-$S140+1-$B$22),0)*$U140*M$124</f>
        <v>43703.5678078728</v>
      </c>
      <c r="N140" s="22" t="n">
        <f aca="false">IF(AND(N$123-$S140+1-$B$22&gt;=1,N$123-$S140+1-$B$22&lt;=8),INDEX($C$27:$J$27,1,N$123-$S140+1-$B$22),0)*$U140*N$124</f>
        <v>50259.1029790537</v>
      </c>
      <c r="O140" s="22" t="n">
        <f aca="false">IF(AND(O$123-$S140+1-$B$22&gt;=1,O$123-$S140+1-$B$22&lt;=8),INDEX($C$27:$J$27,1,O$123-$S140+1-$B$22),0)*$U140*O$124</f>
        <v>57797.9684259117</v>
      </c>
      <c r="P140" s="22" t="n">
        <f aca="false">IF(AND(P$123-$S140+1-$B$22&gt;=1,P$123-$S140+1-$B$22&lt;=8),INDEX($C$27:$J$27,1,P$123-$S140+1-$B$22),0)*$U140*P$124</f>
        <v>66467.6636897985</v>
      </c>
      <c r="Q140" s="22" t="n">
        <f aca="false">IF(AND(Q$123-$S140+1-$B$22&gt;=1,Q$123-$S140+1-$B$22&lt;=8),INDEX($C$27:$J$27,1,Q$123-$S140+1-$B$22),0)*$U140*Q$124</f>
        <v>0</v>
      </c>
      <c r="S140" s="23" t="n">
        <f aca="false">$B$20+8</f>
        <v>2035</v>
      </c>
      <c r="T140" s="22" t="n">
        <f aca="false">IF($S140&gt;$B$20+Scenarios!$E$8-1,0,$B$19*(1+$B$21*Scenarios!$E$7)^8)</f>
        <v>152012.409766514</v>
      </c>
      <c r="U140" s="24" t="n">
        <f aca="false">IFERROR($T140/INDEX($C$124:$Q$124,1,MATCH($S140,$C$123:$Q$123,0)),0)</f>
        <v>108.028535650661</v>
      </c>
      <c r="V140" s="24" t="n">
        <f aca="false">SUMPRODUCT(($C$25:$J$25&lt;=$Q$123-$S140+1-$B$22)*$C$27:$J$27)*$U140</f>
        <v>108.028535650661</v>
      </c>
      <c r="W140" s="24" t="n">
        <f aca="false">$U140-$V140</f>
        <v>0</v>
      </c>
    </row>
    <row r="141" customFormat="false" ht="15" hidden="false" customHeight="false" outlineLevel="0" collapsed="false">
      <c r="A141" s="2" t="s">
        <v>123</v>
      </c>
      <c r="C141" s="22" t="n">
        <f aca="false">IF(AND(C$123-$S141+1-$B$22&gt;=1,C$123-$S141+1-$B$22&lt;=8),INDEX($C$27:$J$27,1,C$123-$S141+1-$B$22),0)*$U141*C$124</f>
        <v>0</v>
      </c>
      <c r="D141" s="22" t="n">
        <f aca="false">IF(AND(D$123-$S141+1-$B$22&gt;=1,D$123-$S141+1-$B$22&lt;=8),INDEX($C$27:$J$27,1,D$123-$S141+1-$B$22),0)*$U141*D$124</f>
        <v>0</v>
      </c>
      <c r="E141" s="22" t="n">
        <f aca="false">IF(AND(E$123-$S141+1-$B$22&gt;=1,E$123-$S141+1-$B$22&lt;=8),INDEX($C$27:$J$27,1,E$123-$S141+1-$B$22),0)*$U141*E$124</f>
        <v>0</v>
      </c>
      <c r="F141" s="22" t="n">
        <f aca="false">IF(AND(F$123-$S141+1-$B$22&gt;=1,F$123-$S141+1-$B$22&lt;=8),INDEX($C$27:$J$27,1,F$123-$S141+1-$B$22),0)*$U141*F$124</f>
        <v>0</v>
      </c>
      <c r="G141" s="22" t="n">
        <f aca="false">IF(AND(G$123-$S141+1-$B$22&gt;=1,G$123-$S141+1-$B$22&lt;=8),INDEX($C$27:$J$27,1,G$123-$S141+1-$B$22),0)*$U141*G$124</f>
        <v>0</v>
      </c>
      <c r="H141" s="22" t="n">
        <f aca="false">IF(AND(H$123-$S141+1-$B$22&gt;=1,H$123-$S141+1-$B$22&lt;=8),INDEX($C$27:$J$27,1,H$123-$S141+1-$B$22),0)*$U141*H$124</f>
        <v>0</v>
      </c>
      <c r="I141" s="22" t="n">
        <f aca="false">IF(AND(I$123-$S141+1-$B$22&gt;=1,I$123-$S141+1-$B$22&lt;=8),INDEX($C$27:$J$27,1,I$123-$S141+1-$B$22),0)*$U141*I$124</f>
        <v>0</v>
      </c>
      <c r="J141" s="22" t="n">
        <f aca="false">IF(AND(J$123-$S141+1-$B$22&gt;=1,J$123-$S141+1-$B$22&lt;=8),INDEX($C$27:$J$27,1,J$123-$S141+1-$B$22),0)*$U141*J$124</f>
        <v>0</v>
      </c>
      <c r="K141" s="22" t="n">
        <f aca="false">IF(AND(K$123-$S141+1-$B$22&gt;=1,K$123-$S141+1-$B$22&lt;=8),INDEX($C$27:$J$27,1,K$123-$S141+1-$B$22),0)*$U141*K$124</f>
        <v>0</v>
      </c>
      <c r="L141" s="22" t="n">
        <f aca="false">IF(AND(L$123-$S141+1-$B$22&gt;=1,L$123-$S141+1-$B$22&lt;=8),INDEX($C$27:$J$27,1,L$123-$S141+1-$B$22),0)*$U141*L$124</f>
        <v>0</v>
      </c>
      <c r="M141" s="22" t="n">
        <f aca="false">IF(AND(M$123-$S141+1-$B$22&gt;=1,M$123-$S141+1-$B$22&lt;=8),INDEX($C$27:$J$27,1,M$123-$S141+1-$B$22),0)*$U141*M$124</f>
        <v>0</v>
      </c>
      <c r="N141" s="22" t="n">
        <f aca="false">IF(AND(N$123-$S141+1-$B$22&gt;=1,N$123-$S141+1-$B$22&lt;=8),INDEX($C$27:$J$27,1,N$123-$S141+1-$B$22),0)*$U141*N$124</f>
        <v>45014.6748421089</v>
      </c>
      <c r="O141" s="22" t="n">
        <f aca="false">IF(AND(O$123-$S141+1-$B$22&gt;=1,O$123-$S141+1-$B$22&lt;=8),INDEX($C$27:$J$27,1,O$123-$S141+1-$B$22),0)*$U141*O$124</f>
        <v>51766.8760684253</v>
      </c>
      <c r="P141" s="22" t="n">
        <f aca="false">IF(AND(P$123-$S141+1-$B$22&gt;=1,P$123-$S141+1-$B$22&lt;=8),INDEX($C$27:$J$27,1,P$123-$S141+1-$B$22),0)*$U141*P$124</f>
        <v>59531.9074786891</v>
      </c>
      <c r="Q141" s="22" t="n">
        <f aca="false">IF(AND(Q$123-$S141+1-$B$22&gt;=1,Q$123-$S141+1-$B$22&lt;=8),INDEX($C$27:$J$27,1,Q$123-$S141+1-$B$22),0)*$U141*Q$124</f>
        <v>68461.6936004924</v>
      </c>
      <c r="S141" s="23" t="n">
        <f aca="false">$B$20+9</f>
        <v>2036</v>
      </c>
      <c r="T141" s="22" t="n">
        <f aca="false">IF($S141&gt;$B$20+Scenarios!$E$8-1,0,$B$19*(1+$B$21*Scenarios!$E$7)^9)</f>
        <v>156572.782059509</v>
      </c>
      <c r="U141" s="24" t="n">
        <f aca="false">IFERROR($T141/INDEX($C$124:$Q$124,1,MATCH($S141,$C$123:$Q$123,0)),0)</f>
        <v>96.755992800157</v>
      </c>
      <c r="V141" s="24" t="n">
        <f aca="false">SUMPRODUCT(($C$25:$J$25&lt;=$Q$123-$S141+1-$B$22)*$C$27:$J$27)*$U141</f>
        <v>96.755992800157</v>
      </c>
      <c r="W141" s="24" t="n">
        <f aca="false">$U141-$V141</f>
        <v>0</v>
      </c>
    </row>
    <row r="142" customFormat="false" ht="15" hidden="false" customHeight="false" outlineLevel="0" collapsed="false">
      <c r="A142" s="2" t="s">
        <v>124</v>
      </c>
      <c r="C142" s="22" t="n">
        <f aca="false">IF(AND(C$123-$S142+1-$B$22&gt;=1,C$123-$S142+1-$B$22&lt;=8),INDEX($C$27:$J$27,1,C$123-$S142+1-$B$22),0)*$U142*C$124</f>
        <v>0</v>
      </c>
      <c r="D142" s="22" t="n">
        <f aca="false">IF(AND(D$123-$S142+1-$B$22&gt;=1,D$123-$S142+1-$B$22&lt;=8),INDEX($C$27:$J$27,1,D$123-$S142+1-$B$22),0)*$U142*D$124</f>
        <v>0</v>
      </c>
      <c r="E142" s="22" t="n">
        <f aca="false">IF(AND(E$123-$S142+1-$B$22&gt;=1,E$123-$S142+1-$B$22&lt;=8),INDEX($C$27:$J$27,1,E$123-$S142+1-$B$22),0)*$U142*E$124</f>
        <v>0</v>
      </c>
      <c r="F142" s="22" t="n">
        <f aca="false">IF(AND(F$123-$S142+1-$B$22&gt;=1,F$123-$S142+1-$B$22&lt;=8),INDEX($C$27:$J$27,1,F$123-$S142+1-$B$22),0)*$U142*F$124</f>
        <v>0</v>
      </c>
      <c r="G142" s="22" t="n">
        <f aca="false">IF(AND(G$123-$S142+1-$B$22&gt;=1,G$123-$S142+1-$B$22&lt;=8),INDEX($C$27:$J$27,1,G$123-$S142+1-$B$22),0)*$U142*G$124</f>
        <v>0</v>
      </c>
      <c r="H142" s="22" t="n">
        <f aca="false">IF(AND(H$123-$S142+1-$B$22&gt;=1,H$123-$S142+1-$B$22&lt;=8),INDEX($C$27:$J$27,1,H$123-$S142+1-$B$22),0)*$U142*H$124</f>
        <v>0</v>
      </c>
      <c r="I142" s="22" t="n">
        <f aca="false">IF(AND(I$123-$S142+1-$B$22&gt;=1,I$123-$S142+1-$B$22&lt;=8),INDEX($C$27:$J$27,1,I$123-$S142+1-$B$22),0)*$U142*I$124</f>
        <v>0</v>
      </c>
      <c r="J142" s="22" t="n">
        <f aca="false">IF(AND(J$123-$S142+1-$B$22&gt;=1,J$123-$S142+1-$B$22&lt;=8),INDEX($C$27:$J$27,1,J$123-$S142+1-$B$22),0)*$U142*J$124</f>
        <v>0</v>
      </c>
      <c r="K142" s="22" t="n">
        <f aca="false">IF(AND(K$123-$S142+1-$B$22&gt;=1,K$123-$S142+1-$B$22&lt;=8),INDEX($C$27:$J$27,1,K$123-$S142+1-$B$22),0)*$U142*K$124</f>
        <v>0</v>
      </c>
      <c r="L142" s="22" t="n">
        <f aca="false">IF(AND(L$123-$S142+1-$B$22&gt;=1,L$123-$S142+1-$B$22&lt;=8),INDEX($C$27:$J$27,1,L$123-$S142+1-$B$22),0)*$U142*L$124</f>
        <v>0</v>
      </c>
      <c r="M142" s="22" t="n">
        <f aca="false">IF(AND(M$123-$S142+1-$B$22&gt;=1,M$123-$S142+1-$B$22&lt;=8),INDEX($C$27:$J$27,1,M$123-$S142+1-$B$22),0)*$U142*M$124</f>
        <v>0</v>
      </c>
      <c r="N142" s="22" t="n">
        <f aca="false">IF(AND(N$123-$S142+1-$B$22&gt;=1,N$123-$S142+1-$B$22&lt;=8),INDEX($C$27:$J$27,1,N$123-$S142+1-$B$22),0)*$U142*N$124</f>
        <v>0</v>
      </c>
      <c r="O142" s="22" t="n">
        <f aca="false">IF(AND(O$123-$S142+1-$B$22&gt;=1,O$123-$S142+1-$B$22&lt;=8),INDEX($C$27:$J$27,1,O$123-$S142+1-$B$22),0)*$U142*O$124</f>
        <v>46365.1150873722</v>
      </c>
      <c r="P142" s="22" t="n">
        <f aca="false">IF(AND(P$123-$S142+1-$B$22&gt;=1,P$123-$S142+1-$B$22&lt;=8),INDEX($C$27:$J$27,1,P$123-$S142+1-$B$22),0)*$U142*P$124</f>
        <v>53319.882350478</v>
      </c>
      <c r="Q142" s="22" t="n">
        <f aca="false">IF(AND(Q$123-$S142+1-$B$22&gt;=1,Q$123-$S142+1-$B$22&lt;=8),INDEX($C$27:$J$27,1,Q$123-$S142+1-$B$22),0)*$U142*Q$124</f>
        <v>61317.8647030497</v>
      </c>
      <c r="S142" s="23" t="n">
        <f aca="false">$B$20+10</f>
        <v>2037</v>
      </c>
      <c r="T142" s="22" t="n">
        <f aca="false">IF($S142&gt;$B$20+Scenarios!$E$8-1,0,$B$19*(1+$B$21*Scenarios!$E$7)^10)</f>
        <v>161269.965521295</v>
      </c>
      <c r="U142" s="24" t="n">
        <f aca="false">IFERROR($T142/INDEX($C$124:$Q$124,1,MATCH($S142,$C$123:$Q$123,0)),0)</f>
        <v>86.6597152905754</v>
      </c>
      <c r="V142" s="24" t="n">
        <f aca="false">SUMPRODUCT(($C$25:$J$25&lt;=$Q$123-$S142+1-$B$22)*$C$27:$J$27)*$U142</f>
        <v>64.9947864679315</v>
      </c>
      <c r="W142" s="24" t="n">
        <f aca="false">$U142-$V142</f>
        <v>21.6649288226438</v>
      </c>
    </row>
    <row r="143" customFormat="false" ht="15" hidden="false" customHeight="false" outlineLevel="0" collapsed="false">
      <c r="A143" s="2" t="s">
        <v>125</v>
      </c>
      <c r="C143" s="22" t="n">
        <f aca="false">IF(AND(C$123-$S143+1-$B$22&gt;=1,C$123-$S143+1-$B$22&lt;=8),INDEX($C$27:$J$27,1,C$123-$S143+1-$B$22),0)*$U143*C$124</f>
        <v>0</v>
      </c>
      <c r="D143" s="22" t="n">
        <f aca="false">IF(AND(D$123-$S143+1-$B$22&gt;=1,D$123-$S143+1-$B$22&lt;=8),INDEX($C$27:$J$27,1,D$123-$S143+1-$B$22),0)*$U143*D$124</f>
        <v>0</v>
      </c>
      <c r="E143" s="22" t="n">
        <f aca="false">IF(AND(E$123-$S143+1-$B$22&gt;=1,E$123-$S143+1-$B$22&lt;=8),INDEX($C$27:$J$27,1,E$123-$S143+1-$B$22),0)*$U143*E$124</f>
        <v>0</v>
      </c>
      <c r="F143" s="22" t="n">
        <f aca="false">IF(AND(F$123-$S143+1-$B$22&gt;=1,F$123-$S143+1-$B$22&lt;=8),INDEX($C$27:$J$27,1,F$123-$S143+1-$B$22),0)*$U143*F$124</f>
        <v>0</v>
      </c>
      <c r="G143" s="22" t="n">
        <f aca="false">IF(AND(G$123-$S143+1-$B$22&gt;=1,G$123-$S143+1-$B$22&lt;=8),INDEX($C$27:$J$27,1,G$123-$S143+1-$B$22),0)*$U143*G$124</f>
        <v>0</v>
      </c>
      <c r="H143" s="22" t="n">
        <f aca="false">IF(AND(H$123-$S143+1-$B$22&gt;=1,H$123-$S143+1-$B$22&lt;=8),INDEX($C$27:$J$27,1,H$123-$S143+1-$B$22),0)*$U143*H$124</f>
        <v>0</v>
      </c>
      <c r="I143" s="22" t="n">
        <f aca="false">IF(AND(I$123-$S143+1-$B$22&gt;=1,I$123-$S143+1-$B$22&lt;=8),INDEX($C$27:$J$27,1,I$123-$S143+1-$B$22),0)*$U143*I$124</f>
        <v>0</v>
      </c>
      <c r="J143" s="22" t="n">
        <f aca="false">IF(AND(J$123-$S143+1-$B$22&gt;=1,J$123-$S143+1-$B$22&lt;=8),INDEX($C$27:$J$27,1,J$123-$S143+1-$B$22),0)*$U143*J$124</f>
        <v>0</v>
      </c>
      <c r="K143" s="22" t="n">
        <f aca="false">IF(AND(K$123-$S143+1-$B$22&gt;=1,K$123-$S143+1-$B$22&lt;=8),INDEX($C$27:$J$27,1,K$123-$S143+1-$B$22),0)*$U143*K$124</f>
        <v>0</v>
      </c>
      <c r="L143" s="22" t="n">
        <f aca="false">IF(AND(L$123-$S143+1-$B$22&gt;=1,L$123-$S143+1-$B$22&lt;=8),INDEX($C$27:$J$27,1,L$123-$S143+1-$B$22),0)*$U143*L$124</f>
        <v>0</v>
      </c>
      <c r="M143" s="22" t="n">
        <f aca="false">IF(AND(M$123-$S143+1-$B$22&gt;=1,M$123-$S143+1-$B$22&lt;=8),INDEX($C$27:$J$27,1,M$123-$S143+1-$B$22),0)*$U143*M$124</f>
        <v>0</v>
      </c>
      <c r="N143" s="22" t="n">
        <f aca="false">IF(AND(N$123-$S143+1-$B$22&gt;=1,N$123-$S143+1-$B$22&lt;=8),INDEX($C$27:$J$27,1,N$123-$S143+1-$B$22),0)*$U143*N$124</f>
        <v>0</v>
      </c>
      <c r="O143" s="22" t="n">
        <f aca="false">IF(AND(O$123-$S143+1-$B$22&gt;=1,O$123-$S143+1-$B$22&lt;=8),INDEX($C$27:$J$27,1,O$123-$S143+1-$B$22),0)*$U143*O$124</f>
        <v>0</v>
      </c>
      <c r="P143" s="22" t="n">
        <f aca="false">IF(AND(P$123-$S143+1-$B$22&gt;=1,P$123-$S143+1-$B$22&lt;=8),INDEX($C$27:$J$27,1,P$123-$S143+1-$B$22),0)*$U143*P$124</f>
        <v>47756.0685399934</v>
      </c>
      <c r="Q143" s="22" t="n">
        <f aca="false">IF(AND(Q$123-$S143+1-$B$22&gt;=1,Q$123-$S143+1-$B$22&lt;=8),INDEX($C$27:$J$27,1,Q$123-$S143+1-$B$22),0)*$U143*Q$124</f>
        <v>54919.4788209924</v>
      </c>
      <c r="S143" s="23" t="n">
        <f aca="false">$B$20+11</f>
        <v>2038</v>
      </c>
      <c r="T143" s="22" t="n">
        <f aca="false">IF($S143&gt;$B$20+Scenarios!$E$8-1,0,$B$19*(1+$B$21*Scenarios!$E$7)^11)</f>
        <v>166108.064486934</v>
      </c>
      <c r="U143" s="24" t="n">
        <f aca="false">IFERROR($T143/INDEX($C$124:$Q$124,1,MATCH($S143,$C$123:$Q$123,0)),0)</f>
        <v>77.6169623906893</v>
      </c>
      <c r="V143" s="24" t="n">
        <f aca="false">SUMPRODUCT(($C$25:$J$25&lt;=$Q$123-$S143+1-$B$22)*$C$27:$J$27)*$U143</f>
        <v>38.8084811953446</v>
      </c>
      <c r="W143" s="24" t="n">
        <f aca="false">$U143-$V143</f>
        <v>38.8084811953446</v>
      </c>
    </row>
    <row r="145" customFormat="false" ht="15" hidden="false" customHeight="false" outlineLevel="0" collapsed="false">
      <c r="A145" s="2" t="s">
        <v>126</v>
      </c>
      <c r="C145" s="22" t="n">
        <f aca="false">C131</f>
        <v>0</v>
      </c>
      <c r="D145" s="22" t="n">
        <f aca="false">D131</f>
        <v>100625</v>
      </c>
      <c r="E145" s="22" t="n">
        <f aca="false">E131</f>
        <v>115718.75</v>
      </c>
      <c r="F145" s="22" t="n">
        <f aca="false">F131</f>
        <v>133076.5625</v>
      </c>
      <c r="G145" s="22" t="n">
        <f aca="false">G131</f>
        <v>153038.046875</v>
      </c>
      <c r="H145" s="22" t="n">
        <f aca="false">H131</f>
        <v>0</v>
      </c>
      <c r="I145" s="22" t="n">
        <f aca="false">I131</f>
        <v>0</v>
      </c>
      <c r="J145" s="22" t="n">
        <f aca="false">J131</f>
        <v>0</v>
      </c>
      <c r="K145" s="22" t="n">
        <f aca="false">K131</f>
        <v>0</v>
      </c>
      <c r="L145" s="22" t="n">
        <f aca="false">L131</f>
        <v>0</v>
      </c>
      <c r="M145" s="22" t="n">
        <f aca="false">M131</f>
        <v>0</v>
      </c>
      <c r="N145" s="22" t="n">
        <f aca="false">N131</f>
        <v>0</v>
      </c>
      <c r="O145" s="22" t="n">
        <f aca="false">O131</f>
        <v>0</v>
      </c>
      <c r="P145" s="22" t="n">
        <f aca="false">P131</f>
        <v>0</v>
      </c>
      <c r="Q145" s="22" t="n">
        <f aca="false">Q131</f>
        <v>0</v>
      </c>
    </row>
    <row r="146" customFormat="false" ht="15" hidden="false" customHeight="false" outlineLevel="0" collapsed="false">
      <c r="A146" s="2" t="s">
        <v>127</v>
      </c>
      <c r="C146" s="22" t="n">
        <f aca="false">SUM(C132:C143)</f>
        <v>0</v>
      </c>
      <c r="D146" s="22" t="n">
        <f aca="false">SUM(D132:D143)</f>
        <v>0</v>
      </c>
      <c r="E146" s="22" t="n">
        <f aca="false">SUM(E132:E143)</f>
        <v>34500</v>
      </c>
      <c r="F146" s="22" t="n">
        <f aca="false">SUM(F132:F143)</f>
        <v>75210</v>
      </c>
      <c r="G146" s="22" t="n">
        <f aca="false">SUM(G132:G143)</f>
        <v>123092.55</v>
      </c>
      <c r="H146" s="22" t="n">
        <f aca="false">SUM(H132:H143)</f>
        <v>179255.514</v>
      </c>
      <c r="I146" s="22" t="n">
        <f aca="false">SUM(I132:I143)</f>
        <v>184633.17942</v>
      </c>
      <c r="J146" s="22" t="n">
        <f aca="false">SUM(J132:J143)</f>
        <v>190172.1748026</v>
      </c>
      <c r="K146" s="22" t="n">
        <f aca="false">SUM(K132:K143)</f>
        <v>195877.340046678</v>
      </c>
      <c r="L146" s="22" t="n">
        <f aca="false">SUM(L132:L143)</f>
        <v>201753.660248078</v>
      </c>
      <c r="M146" s="22" t="n">
        <f aca="false">SUM(M132:M143)</f>
        <v>207806.270055521</v>
      </c>
      <c r="N146" s="22" t="n">
        <f aca="false">SUM(N132:N143)</f>
        <v>214040.458157186</v>
      </c>
      <c r="O146" s="22" t="n">
        <f aca="false">SUM(O132:O143)</f>
        <v>220461.671901902</v>
      </c>
      <c r="P146" s="22" t="n">
        <f aca="false">SUM(P132:P143)</f>
        <v>227075.522058959</v>
      </c>
      <c r="Q146" s="22" t="n">
        <f aca="false">SUM(Q132:Q143)</f>
        <v>184699.037124535</v>
      </c>
    </row>
    <row r="147" customFormat="false" ht="15" hidden="false" customHeight="false" outlineLevel="0" collapsed="false">
      <c r="A147" s="3" t="s">
        <v>128</v>
      </c>
      <c r="C147" s="25" t="n">
        <f aca="false">C145+C146</f>
        <v>0</v>
      </c>
      <c r="D147" s="25" t="n">
        <f aca="false">D145+D146</f>
        <v>100625</v>
      </c>
      <c r="E147" s="25" t="n">
        <f aca="false">E145+E146</f>
        <v>150218.75</v>
      </c>
      <c r="F147" s="25" t="n">
        <f aca="false">F145+F146</f>
        <v>208286.5625</v>
      </c>
      <c r="G147" s="25" t="n">
        <f aca="false">G145+G146</f>
        <v>276130.596875</v>
      </c>
      <c r="H147" s="25" t="n">
        <f aca="false">H145+H146</f>
        <v>179255.514</v>
      </c>
      <c r="I147" s="25" t="n">
        <f aca="false">I145+I146</f>
        <v>184633.17942</v>
      </c>
      <c r="J147" s="25" t="n">
        <f aca="false">J145+J146</f>
        <v>190172.1748026</v>
      </c>
      <c r="K147" s="25" t="n">
        <f aca="false">K145+K146</f>
        <v>195877.340046678</v>
      </c>
      <c r="L147" s="25" t="n">
        <f aca="false">L145+L146</f>
        <v>201753.660248078</v>
      </c>
      <c r="M147" s="25" t="n">
        <f aca="false">M145+M146</f>
        <v>207806.270055521</v>
      </c>
      <c r="N147" s="25" t="n">
        <f aca="false">N145+N146</f>
        <v>214040.458157186</v>
      </c>
      <c r="O147" s="25" t="n">
        <f aca="false">O145+O146</f>
        <v>220461.671901902</v>
      </c>
      <c r="P147" s="25" t="n">
        <f aca="false">P145+P146</f>
        <v>227075.522058959</v>
      </c>
      <c r="Q147" s="25" t="n">
        <f aca="false">Q145+Q146</f>
        <v>184699.037124535</v>
      </c>
    </row>
    <row r="148" customFormat="false" ht="15" hidden="false" customHeight="false" outlineLevel="0" collapsed="false">
      <c r="A148" s="2" t="s">
        <v>129</v>
      </c>
      <c r="C148" s="23" t="n">
        <f aca="false">SUMPRODUCT((C131:C143&gt;0)*1)</f>
        <v>0</v>
      </c>
      <c r="D148" s="23" t="n">
        <f aca="false">SUMPRODUCT((D131:D143&gt;0)*1)</f>
        <v>1</v>
      </c>
      <c r="E148" s="23" t="n">
        <f aca="false">SUMPRODUCT((E131:E143&gt;0)*1)</f>
        <v>2</v>
      </c>
      <c r="F148" s="23" t="n">
        <f aca="false">SUMPRODUCT((F131:F143&gt;0)*1)</f>
        <v>3</v>
      </c>
      <c r="G148" s="23" t="n">
        <f aca="false">SUMPRODUCT((G131:G143&gt;0)*1)</f>
        <v>4</v>
      </c>
      <c r="H148" s="23" t="n">
        <f aca="false">SUMPRODUCT((H131:H143&gt;0)*1)</f>
        <v>4</v>
      </c>
      <c r="I148" s="23" t="n">
        <f aca="false">SUMPRODUCT((I131:I143&gt;0)*1)</f>
        <v>4</v>
      </c>
      <c r="J148" s="23" t="n">
        <f aca="false">SUMPRODUCT((J131:J143&gt;0)*1)</f>
        <v>4</v>
      </c>
      <c r="K148" s="23" t="n">
        <f aca="false">SUMPRODUCT((K131:K143&gt;0)*1)</f>
        <v>4</v>
      </c>
      <c r="L148" s="23" t="n">
        <f aca="false">SUMPRODUCT((L131:L143&gt;0)*1)</f>
        <v>4</v>
      </c>
      <c r="M148" s="23" t="n">
        <f aca="false">SUMPRODUCT((M131:M143&gt;0)*1)</f>
        <v>4</v>
      </c>
      <c r="N148" s="23" t="n">
        <f aca="false">SUMPRODUCT((N131:N143&gt;0)*1)</f>
        <v>4</v>
      </c>
      <c r="O148" s="23" t="n">
        <f aca="false">SUMPRODUCT((O131:O143&gt;0)*1)</f>
        <v>4</v>
      </c>
      <c r="P148" s="23" t="n">
        <f aca="false">SUMPRODUCT((P131:P143&gt;0)*1)</f>
        <v>4</v>
      </c>
      <c r="Q148" s="23" t="n">
        <f aca="false">SUMPRODUCT((Q131:Q143&gt;0)*1)</f>
        <v>3</v>
      </c>
    </row>
    <row r="150" customFormat="false" ht="15" hidden="false" customHeight="false" outlineLevel="0" collapsed="false">
      <c r="A150" s="3" t="s">
        <v>130</v>
      </c>
      <c r="C150" s="26" t="n">
        <f aca="false">C125+C127+C128+C147</f>
        <v>247500</v>
      </c>
      <c r="D150" s="26" t="n">
        <f aca="false">D125+D127+D128+D147</f>
        <v>412437.5</v>
      </c>
      <c r="E150" s="26" t="n">
        <f aca="false">E125+E127+E128+E147</f>
        <v>436875.3125</v>
      </c>
      <c r="F150" s="26" t="n">
        <f aca="false">F125+F127+F128+F147</f>
        <v>507842.6703125</v>
      </c>
      <c r="G150" s="26" t="n">
        <f aca="false">G125+G127+G128+G147</f>
        <v>589166.729539062</v>
      </c>
      <c r="H150" s="26" t="n">
        <f aca="false">H125+H127+H128+H147</f>
        <v>506378.272633945</v>
      </c>
      <c r="I150" s="26" t="n">
        <f aca="false">I125+I127+I128+I147</f>
        <v>526476.462192473</v>
      </c>
      <c r="J150" s="26" t="n">
        <f aca="false">J125+J127+J128+J147</f>
        <v>547398.405299834</v>
      </c>
      <c r="K150" s="26" t="n">
        <f aca="false">K125+K127+K128+K147</f>
        <v>569178.750916287</v>
      </c>
      <c r="L150" s="26" t="n">
        <f aca="false">L125+L127+L128+L147</f>
        <v>591853.63460682</v>
      </c>
      <c r="M150" s="26" t="n">
        <f aca="false">M125+M127+M128+M147</f>
        <v>615460.743260406</v>
      </c>
      <c r="N150" s="26" t="n">
        <f aca="false">N125+N127+N128+N147</f>
        <v>640039.382656291</v>
      </c>
      <c r="O150" s="26" t="n">
        <f aca="false">O125+O127+O128+O147</f>
        <v>665630.548003467</v>
      </c>
      <c r="P150" s="26" t="n">
        <f aca="false">P125+P127+P128+P147</f>
        <v>692276.997585094</v>
      </c>
      <c r="Q150" s="26" t="n">
        <f aca="false">Q125+Q127+Q128+Q147</f>
        <v>670834.579049346</v>
      </c>
    </row>
    <row r="151" customFormat="false" ht="15" hidden="false" customHeight="false" outlineLevel="0" collapsed="false">
      <c r="A151" s="3" t="s">
        <v>131</v>
      </c>
      <c r="C151" s="25" t="n">
        <f aca="false">C150</f>
        <v>247500</v>
      </c>
      <c r="D151" s="25" t="n">
        <f aca="false">C151+D150</f>
        <v>659937.5</v>
      </c>
      <c r="E151" s="25" t="n">
        <f aca="false">D151+E150</f>
        <v>1096812.8125</v>
      </c>
      <c r="F151" s="25" t="n">
        <f aca="false">E151+F150</f>
        <v>1604655.4828125</v>
      </c>
      <c r="G151" s="25" t="n">
        <f aca="false">F151+G150</f>
        <v>2193822.21235156</v>
      </c>
      <c r="H151" s="25" t="n">
        <f aca="false">G151+H150</f>
        <v>2700200.48498551</v>
      </c>
      <c r="I151" s="25" t="n">
        <f aca="false">H151+I150</f>
        <v>3226676.94717798</v>
      </c>
      <c r="J151" s="25" t="n">
        <f aca="false">I151+J150</f>
        <v>3774075.35247781</v>
      </c>
      <c r="K151" s="25" t="n">
        <f aca="false">J151+K150</f>
        <v>4343254.1033941</v>
      </c>
      <c r="L151" s="25" t="n">
        <f aca="false">K151+L150</f>
        <v>4935107.73800092</v>
      </c>
      <c r="M151" s="25" t="n">
        <f aca="false">L151+M150</f>
        <v>5550568.48126133</v>
      </c>
      <c r="N151" s="25" t="n">
        <f aca="false">M151+N150</f>
        <v>6190607.86391762</v>
      </c>
      <c r="O151" s="25" t="n">
        <f aca="false">N151+O150</f>
        <v>6856238.41192109</v>
      </c>
      <c r="P151" s="25" t="n">
        <f aca="false">O151+P150</f>
        <v>7548515.40950618</v>
      </c>
      <c r="Q151" s="25" t="n">
        <f aca="false">P151+Q150</f>
        <v>8219349.98855553</v>
      </c>
    </row>
    <row r="153" customFormat="false" ht="15" hidden="false" customHeight="false" outlineLevel="0" collapsed="false">
      <c r="A153" s="2" t="s">
        <v>132</v>
      </c>
      <c r="B153" s="24" t="n">
        <f aca="false">SUM(W131:W143)</f>
        <v>60.4734100179885</v>
      </c>
    </row>
    <row r="154" customFormat="false" ht="15" hidden="false" customHeight="false" outlineLevel="0" collapsed="false">
      <c r="A154" s="2" t="s">
        <v>133</v>
      </c>
      <c r="B154" s="22" t="n">
        <f aca="false">B153*$Q$124</f>
        <v>171156.822345035</v>
      </c>
    </row>
    <row r="160" customFormat="false" ht="17.35" hidden="false" customHeight="false" outlineLevel="0" collapsed="false">
      <c r="A160" s="1" t="s">
        <v>136</v>
      </c>
    </row>
    <row r="161" customFormat="false" ht="15" hidden="false" customHeight="false" outlineLevel="0" collapsed="false">
      <c r="A161" s="3" t="s">
        <v>102</v>
      </c>
      <c r="C161" s="17" t="n">
        <f aca="false">C33</f>
        <v>2026</v>
      </c>
      <c r="D161" s="17" t="n">
        <f aca="false">D33</f>
        <v>2027</v>
      </c>
      <c r="E161" s="17" t="n">
        <f aca="false">E33</f>
        <v>2028</v>
      </c>
      <c r="F161" s="17" t="n">
        <f aca="false">F33</f>
        <v>2029</v>
      </c>
      <c r="G161" s="17" t="n">
        <f aca="false">G33</f>
        <v>2030</v>
      </c>
      <c r="H161" s="17" t="n">
        <f aca="false">H33</f>
        <v>2031</v>
      </c>
      <c r="I161" s="17" t="n">
        <f aca="false">I33</f>
        <v>2032</v>
      </c>
      <c r="J161" s="17" t="n">
        <f aca="false">J33</f>
        <v>2033</v>
      </c>
      <c r="K161" s="17" t="n">
        <f aca="false">K33</f>
        <v>2034</v>
      </c>
      <c r="L161" s="17" t="n">
        <f aca="false">L33</f>
        <v>2035</v>
      </c>
      <c r="M161" s="17" t="n">
        <f aca="false">M33</f>
        <v>2036</v>
      </c>
      <c r="N161" s="17" t="n">
        <f aca="false">N33</f>
        <v>2037</v>
      </c>
      <c r="O161" s="17" t="n">
        <f aca="false">O33</f>
        <v>2038</v>
      </c>
      <c r="P161" s="17" t="n">
        <f aca="false">P33</f>
        <v>2039</v>
      </c>
      <c r="Q161" s="17" t="n">
        <f aca="false">Q33</f>
        <v>2040</v>
      </c>
    </row>
    <row r="162" customFormat="false" ht="15" hidden="false" customHeight="false" outlineLevel="0" collapsed="false">
      <c r="A162" s="2" t="s">
        <v>137</v>
      </c>
      <c r="C162" s="22" t="n">
        <f aca="false">C60</f>
        <v>247500</v>
      </c>
      <c r="D162" s="22" t="n">
        <f aca="false">D60</f>
        <v>370122.5</v>
      </c>
      <c r="E162" s="22" t="n">
        <f aca="false">E60</f>
        <v>366299.3375</v>
      </c>
      <c r="F162" s="22" t="n">
        <f aca="false">F60</f>
        <v>400031.3275625</v>
      </c>
      <c r="G162" s="22" t="n">
        <f aca="false">G60</f>
        <v>433819.297475937</v>
      </c>
      <c r="H162" s="22" t="n">
        <f aca="false">H60</f>
        <v>380164.086938076</v>
      </c>
      <c r="I162" s="22" t="n">
        <f aca="false">I60</f>
        <v>354066.548242148</v>
      </c>
      <c r="J162" s="22" t="n">
        <f aca="false">J60</f>
        <v>328027.54646578</v>
      </c>
      <c r="K162" s="22" t="n">
        <f aca="false">K60</f>
        <v>302047.959662766</v>
      </c>
      <c r="L162" s="22" t="n">
        <f aca="false">L60</f>
        <v>276128.679057708</v>
      </c>
      <c r="M162" s="22" t="n">
        <f aca="false">M60</f>
        <v>280270.609243574</v>
      </c>
      <c r="N162" s="22" t="n">
        <f aca="false">N60</f>
        <v>284474.668382227</v>
      </c>
      <c r="O162" s="22" t="n">
        <f aca="false">O60</f>
        <v>288741.78840796</v>
      </c>
      <c r="P162" s="22" t="n">
        <f aca="false">P60</f>
        <v>293072.91523408</v>
      </c>
      <c r="Q162" s="22" t="n">
        <f aca="false">Q60</f>
        <v>297469.008962591</v>
      </c>
    </row>
    <row r="163" customFormat="false" ht="15" hidden="false" customHeight="false" outlineLevel="0" collapsed="false">
      <c r="A163" s="2" t="s">
        <v>138</v>
      </c>
      <c r="C163" s="22" t="n">
        <f aca="false">C105</f>
        <v>247500</v>
      </c>
      <c r="D163" s="22" t="n">
        <f aca="false">D105</f>
        <v>390685</v>
      </c>
      <c r="E163" s="22" t="n">
        <f aca="false">E105</f>
        <v>399625.55</v>
      </c>
      <c r="F163" s="22" t="n">
        <f aca="false">F105</f>
        <v>449968.4665</v>
      </c>
      <c r="G163" s="22" t="n">
        <f aca="false">G105</f>
        <v>504506.460995</v>
      </c>
      <c r="H163" s="22" t="n">
        <f aca="false">H105</f>
        <v>440830.0447236</v>
      </c>
      <c r="I163" s="22" t="n">
        <f aca="false">I105</f>
        <v>454054.946065308</v>
      </c>
      <c r="J163" s="22" t="n">
        <f aca="false">J105</f>
        <v>467676.594447267</v>
      </c>
      <c r="K163" s="22" t="n">
        <f aca="false">K105</f>
        <v>481706.892280685</v>
      </c>
      <c r="L163" s="22" t="n">
        <f aca="false">L105</f>
        <v>496158.099049106</v>
      </c>
      <c r="M163" s="22" t="n">
        <f aca="false">M105</f>
        <v>511042.842020579</v>
      </c>
      <c r="N163" s="22" t="n">
        <f aca="false">N105</f>
        <v>526374.127281197</v>
      </c>
      <c r="O163" s="22" t="n">
        <f aca="false">O105</f>
        <v>542165.351099632</v>
      </c>
      <c r="P163" s="22" t="n">
        <f aca="false">P105</f>
        <v>558430.311632622</v>
      </c>
      <c r="Q163" s="22" t="n">
        <f aca="false">Q105</f>
        <v>529416.296513838</v>
      </c>
    </row>
    <row r="164" customFormat="false" ht="15" hidden="false" customHeight="false" outlineLevel="0" collapsed="false">
      <c r="A164" s="2" t="s">
        <v>139</v>
      </c>
      <c r="C164" s="22" t="n">
        <f aca="false">C150</f>
        <v>247500</v>
      </c>
      <c r="D164" s="22" t="n">
        <f aca="false">D150</f>
        <v>412437.5</v>
      </c>
      <c r="E164" s="22" t="n">
        <f aca="false">E150</f>
        <v>436875.3125</v>
      </c>
      <c r="F164" s="22" t="n">
        <f aca="false">F150</f>
        <v>507842.6703125</v>
      </c>
      <c r="G164" s="22" t="n">
        <f aca="false">G150</f>
        <v>589166.729539062</v>
      </c>
      <c r="H164" s="22" t="n">
        <f aca="false">H150</f>
        <v>506378.272633945</v>
      </c>
      <c r="I164" s="22" t="n">
        <f aca="false">I150</f>
        <v>526476.462192473</v>
      </c>
      <c r="J164" s="22" t="n">
        <f aca="false">J150</f>
        <v>547398.405299834</v>
      </c>
      <c r="K164" s="22" t="n">
        <f aca="false">K150</f>
        <v>569178.750916287</v>
      </c>
      <c r="L164" s="22" t="n">
        <f aca="false">L150</f>
        <v>591853.63460682</v>
      </c>
      <c r="M164" s="22" t="n">
        <f aca="false">M150</f>
        <v>615460.743260406</v>
      </c>
      <c r="N164" s="22" t="n">
        <f aca="false">N150</f>
        <v>640039.382656291</v>
      </c>
      <c r="O164" s="22" t="n">
        <f aca="false">O150</f>
        <v>665630.548003467</v>
      </c>
      <c r="P164" s="22" t="n">
        <f aca="false">P150</f>
        <v>692276.997585094</v>
      </c>
      <c r="Q164" s="22" t="n">
        <f aca="false">Q150</f>
        <v>670834.579049346</v>
      </c>
    </row>
    <row r="166" customFormat="false" ht="15" hidden="false" customHeight="false" outlineLevel="0" collapsed="false">
      <c r="A166" s="2" t="s">
        <v>140</v>
      </c>
      <c r="C166" s="22" t="n">
        <f aca="false">C61</f>
        <v>247500</v>
      </c>
      <c r="D166" s="22" t="n">
        <f aca="false">D61</f>
        <v>617622.5</v>
      </c>
      <c r="E166" s="22" t="n">
        <f aca="false">E61</f>
        <v>983921.8375</v>
      </c>
      <c r="F166" s="22" t="n">
        <f aca="false">F61</f>
        <v>1383953.1650625</v>
      </c>
      <c r="G166" s="22" t="n">
        <f aca="false">G61</f>
        <v>1817772.46253844</v>
      </c>
      <c r="H166" s="22" t="n">
        <f aca="false">H61</f>
        <v>2197936.54947651</v>
      </c>
      <c r="I166" s="22" t="n">
        <f aca="false">I61</f>
        <v>2552003.09771866</v>
      </c>
      <c r="J166" s="22" t="n">
        <f aca="false">J61</f>
        <v>2880030.64418444</v>
      </c>
      <c r="K166" s="22" t="n">
        <f aca="false">K61</f>
        <v>3182078.60384721</v>
      </c>
      <c r="L166" s="22" t="n">
        <f aca="false">L61</f>
        <v>3458207.28290492</v>
      </c>
      <c r="M166" s="22" t="n">
        <f aca="false">M61</f>
        <v>3738477.89214849</v>
      </c>
      <c r="N166" s="22" t="n">
        <f aca="false">N61</f>
        <v>4022952.56053072</v>
      </c>
      <c r="O166" s="22" t="n">
        <f aca="false">O61</f>
        <v>4311694.34893868</v>
      </c>
      <c r="P166" s="22" t="n">
        <f aca="false">P61</f>
        <v>4604767.26417276</v>
      </c>
      <c r="Q166" s="22" t="n">
        <f aca="false">Q61</f>
        <v>4902236.27313535</v>
      </c>
    </row>
    <row r="167" customFormat="false" ht="15" hidden="false" customHeight="false" outlineLevel="0" collapsed="false">
      <c r="A167" s="2" t="s">
        <v>141</v>
      </c>
      <c r="C167" s="22" t="n">
        <f aca="false">C106</f>
        <v>247500</v>
      </c>
      <c r="D167" s="22" t="n">
        <f aca="false">D106</f>
        <v>638185</v>
      </c>
      <c r="E167" s="22" t="n">
        <f aca="false">E106</f>
        <v>1037810.55</v>
      </c>
      <c r="F167" s="22" t="n">
        <f aca="false">F106</f>
        <v>1487779.0165</v>
      </c>
      <c r="G167" s="22" t="n">
        <f aca="false">G106</f>
        <v>1992285.477495</v>
      </c>
      <c r="H167" s="22" t="n">
        <f aca="false">H106</f>
        <v>2433115.5222186</v>
      </c>
      <c r="I167" s="22" t="n">
        <f aca="false">I106</f>
        <v>2887170.46828391</v>
      </c>
      <c r="J167" s="22" t="n">
        <f aca="false">J106</f>
        <v>3354847.06273118</v>
      </c>
      <c r="K167" s="22" t="n">
        <f aca="false">K106</f>
        <v>3836553.95501186</v>
      </c>
      <c r="L167" s="22" t="n">
        <f aca="false">L106</f>
        <v>4332712.05406097</v>
      </c>
      <c r="M167" s="22" t="n">
        <f aca="false">M106</f>
        <v>4843754.89608155</v>
      </c>
      <c r="N167" s="22" t="n">
        <f aca="false">N106</f>
        <v>5370129.02336274</v>
      </c>
      <c r="O167" s="22" t="n">
        <f aca="false">O106</f>
        <v>5912294.37446237</v>
      </c>
      <c r="P167" s="22" t="n">
        <f aca="false">P106</f>
        <v>6470724.686095</v>
      </c>
      <c r="Q167" s="22" t="n">
        <f aca="false">Q106</f>
        <v>7000140.98260883</v>
      </c>
    </row>
    <row r="168" customFormat="false" ht="15" hidden="false" customHeight="false" outlineLevel="0" collapsed="false">
      <c r="A168" s="2" t="s">
        <v>142</v>
      </c>
      <c r="C168" s="22" t="n">
        <f aca="false">C151</f>
        <v>247500</v>
      </c>
      <c r="D168" s="22" t="n">
        <f aca="false">D151</f>
        <v>659937.5</v>
      </c>
      <c r="E168" s="22" t="n">
        <f aca="false">E151</f>
        <v>1096812.8125</v>
      </c>
      <c r="F168" s="22" t="n">
        <f aca="false">F151</f>
        <v>1604655.4828125</v>
      </c>
      <c r="G168" s="22" t="n">
        <f aca="false">G151</f>
        <v>2193822.21235156</v>
      </c>
      <c r="H168" s="22" t="n">
        <f aca="false">H151</f>
        <v>2700200.48498551</v>
      </c>
      <c r="I168" s="22" t="n">
        <f aca="false">I151</f>
        <v>3226676.94717798</v>
      </c>
      <c r="J168" s="22" t="n">
        <f aca="false">J151</f>
        <v>3774075.35247781</v>
      </c>
      <c r="K168" s="22" t="n">
        <f aca="false">K151</f>
        <v>4343254.1033941</v>
      </c>
      <c r="L168" s="22" t="n">
        <f aca="false">L151</f>
        <v>4935107.73800092</v>
      </c>
      <c r="M168" s="22" t="n">
        <f aca="false">M151</f>
        <v>5550568.48126133</v>
      </c>
      <c r="N168" s="22" t="n">
        <f aca="false">N151</f>
        <v>6190607.86391762</v>
      </c>
      <c r="O168" s="22" t="n">
        <f aca="false">O151</f>
        <v>6856238.41192109</v>
      </c>
      <c r="P168" s="22" t="n">
        <f aca="false">P151</f>
        <v>7548515.40950618</v>
      </c>
      <c r="Q168" s="22" t="n">
        <f aca="false">Q151</f>
        <v>8219349.98855553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5"/>
    <col collapsed="false" customWidth="true" hidden="false" outlineLevel="0" max="17" min="3" style="0" width="12"/>
    <col collapsed="false" customWidth="true" hidden="false" outlineLevel="0" max="18" min="18" style="0" width="2"/>
    <col collapsed="false" customWidth="true" hidden="false" outlineLevel="0" max="23" min="19" style="0" width="15"/>
  </cols>
  <sheetData>
    <row r="1" customFormat="false" ht="17.35" hidden="false" customHeight="false" outlineLevel="0" collapsed="false">
      <c r="A1" s="1" t="s">
        <v>146</v>
      </c>
    </row>
    <row r="2" customFormat="false" ht="15" hidden="false" customHeight="false" outlineLevel="0" collapsed="false">
      <c r="A2" s="6" t="s">
        <v>68</v>
      </c>
    </row>
    <row r="3" customFormat="false" ht="15" hidden="false" customHeight="false" outlineLevel="0" collapsed="false">
      <c r="A3" s="3" t="s">
        <v>69</v>
      </c>
    </row>
    <row r="4" customFormat="false" ht="15" hidden="false" customHeight="false" outlineLevel="0" collapsed="false">
      <c r="A4" s="2" t="s">
        <v>70</v>
      </c>
      <c r="B4" s="12" t="s">
        <v>147</v>
      </c>
    </row>
    <row r="5" customFormat="false" ht="15" hidden="false" customHeight="false" outlineLevel="0" collapsed="false">
      <c r="A5" s="2" t="s">
        <v>72</v>
      </c>
      <c r="B5" s="12" t="s">
        <v>148</v>
      </c>
    </row>
    <row r="6" customFormat="false" ht="15" hidden="false" customHeight="false" outlineLevel="0" collapsed="false">
      <c r="A6" s="2" t="s">
        <v>74</v>
      </c>
      <c r="B6" s="13" t="n">
        <v>2026</v>
      </c>
    </row>
    <row r="7" customFormat="false" ht="15" hidden="false" customHeight="false" outlineLevel="0" collapsed="false">
      <c r="A7" s="2" t="s">
        <v>75</v>
      </c>
      <c r="B7" s="14" t="n">
        <v>190000</v>
      </c>
    </row>
    <row r="8" customFormat="false" ht="15" hidden="false" customHeight="false" outlineLevel="0" collapsed="false">
      <c r="A8" s="2" t="s">
        <v>76</v>
      </c>
      <c r="B8" s="11" t="n">
        <v>0.03</v>
      </c>
    </row>
    <row r="9" customFormat="false" ht="15" hidden="false" customHeight="false" outlineLevel="0" collapsed="false">
      <c r="A9" s="2" t="s">
        <v>77</v>
      </c>
      <c r="B9" s="11" t="n">
        <v>0.15</v>
      </c>
    </row>
    <row r="10" customFormat="false" ht="15" hidden="false" customHeight="false" outlineLevel="0" collapsed="false">
      <c r="A10" s="2" t="s">
        <v>78</v>
      </c>
      <c r="B10" s="12" t="s">
        <v>79</v>
      </c>
    </row>
    <row r="11" customFormat="false" ht="15" hidden="false" customHeight="false" outlineLevel="0" collapsed="false">
      <c r="A11" s="2" t="s">
        <v>80</v>
      </c>
      <c r="B11" s="12" t="s">
        <v>81</v>
      </c>
    </row>
    <row r="12" customFormat="false" ht="15" hidden="false" customHeight="false" outlineLevel="0" collapsed="false">
      <c r="A12" s="2" t="s">
        <v>82</v>
      </c>
      <c r="B12" s="14" t="n">
        <v>50000</v>
      </c>
    </row>
    <row r="13" customFormat="false" ht="15" hidden="false" customHeight="false" outlineLevel="0" collapsed="false">
      <c r="A13" s="2" t="s">
        <v>83</v>
      </c>
      <c r="B13" s="11" t="n">
        <v>0.5</v>
      </c>
    </row>
    <row r="14" customFormat="false" ht="15" hidden="false" customHeight="false" outlineLevel="0" collapsed="false">
      <c r="A14" s="2" t="s">
        <v>84</v>
      </c>
      <c r="B14" s="11" t="n">
        <v>0.5</v>
      </c>
    </row>
    <row r="15" customFormat="false" ht="15" hidden="false" customHeight="false" outlineLevel="0" collapsed="false">
      <c r="A15" s="2" t="s">
        <v>85</v>
      </c>
      <c r="B15" s="11" t="n">
        <v>0</v>
      </c>
    </row>
    <row r="16" customFormat="false" ht="15" hidden="false" customHeight="false" outlineLevel="0" collapsed="false">
      <c r="A16" s="2" t="s">
        <v>86</v>
      </c>
      <c r="B16" s="15" t="n">
        <f aca="false">SUM(B13:B15)</f>
        <v>1</v>
      </c>
      <c r="C16" s="2" t="str">
        <f aca="false">IF(ROUND(B16,6)=1,"OK","ERROR - must total 100%")</f>
        <v>OK</v>
      </c>
    </row>
    <row r="17" customFormat="false" ht="15" hidden="false" customHeight="false" outlineLevel="0" collapsed="false">
      <c r="A17" s="2" t="s">
        <v>87</v>
      </c>
      <c r="B17" s="16" t="n">
        <v>180</v>
      </c>
    </row>
    <row r="18" customFormat="false" ht="15" hidden="false" customHeight="false" outlineLevel="0" collapsed="false">
      <c r="A18" s="2" t="s">
        <v>88</v>
      </c>
      <c r="B18" s="14" t="n">
        <v>500000</v>
      </c>
    </row>
    <row r="19" customFormat="false" ht="15" hidden="false" customHeight="false" outlineLevel="0" collapsed="false">
      <c r="A19" s="2" t="s">
        <v>89</v>
      </c>
      <c r="B19" s="14" t="n">
        <v>100000</v>
      </c>
    </row>
    <row r="20" customFormat="false" ht="15" hidden="false" customHeight="false" outlineLevel="0" collapsed="false">
      <c r="A20" s="2" t="s">
        <v>90</v>
      </c>
      <c r="B20" s="13" t="n">
        <v>2027</v>
      </c>
    </row>
    <row r="21" customFormat="false" ht="15" hidden="false" customHeight="false" outlineLevel="0" collapsed="false">
      <c r="A21" s="2" t="s">
        <v>91</v>
      </c>
      <c r="B21" s="11" t="n">
        <v>0.03</v>
      </c>
    </row>
    <row r="22" customFormat="false" ht="15" hidden="false" customHeight="false" outlineLevel="0" collapsed="false">
      <c r="A22" s="2" t="s">
        <v>92</v>
      </c>
      <c r="B22" s="13" t="n">
        <v>1</v>
      </c>
    </row>
    <row r="23" customFormat="false" ht="15" hidden="false" customHeight="false" outlineLevel="0" collapsed="false">
      <c r="A23" s="6" t="s">
        <v>93</v>
      </c>
    </row>
    <row r="24" customFormat="false" ht="15" hidden="false" customHeight="false" outlineLevel="0" collapsed="false">
      <c r="A24" s="3" t="s">
        <v>94</v>
      </c>
    </row>
    <row r="25" customFormat="false" ht="15" hidden="false" customHeight="false" outlineLevel="0" collapsed="false">
      <c r="A25" s="3" t="s">
        <v>95</v>
      </c>
      <c r="C25" s="17" t="n">
        <v>1</v>
      </c>
      <c r="D25" s="17" t="n">
        <v>2</v>
      </c>
      <c r="E25" s="17" t="n">
        <v>3</v>
      </c>
      <c r="F25" s="17" t="n">
        <v>4</v>
      </c>
      <c r="G25" s="17" t="n">
        <v>5</v>
      </c>
      <c r="H25" s="17" t="n">
        <v>6</v>
      </c>
      <c r="I25" s="17" t="n">
        <v>7</v>
      </c>
      <c r="J25" s="17" t="n">
        <v>8</v>
      </c>
      <c r="K25" s="7" t="s">
        <v>96</v>
      </c>
    </row>
    <row r="26" customFormat="false" ht="15" hidden="false" customHeight="false" outlineLevel="0" collapsed="false">
      <c r="A26" s="2" t="s">
        <v>97</v>
      </c>
      <c r="C26" s="8" t="n">
        <v>0.2</v>
      </c>
      <c r="D26" s="8" t="n">
        <v>0.2</v>
      </c>
      <c r="E26" s="8" t="n">
        <v>0.2</v>
      </c>
      <c r="F26" s="8" t="n">
        <v>0.2</v>
      </c>
      <c r="G26" s="8" t="n">
        <v>0.2</v>
      </c>
      <c r="H26" s="8" t="n">
        <v>0</v>
      </c>
      <c r="I26" s="8" t="n">
        <v>0</v>
      </c>
      <c r="J26" s="8" t="n">
        <v>0</v>
      </c>
      <c r="K26" s="15" t="n">
        <f aca="false">SUM(C26:J26)</f>
        <v>1</v>
      </c>
      <c r="L26" s="2" t="str">
        <f aca="false">IF(ROUND(K26,6)=1,"OK","ERROR - must total 100%")</f>
        <v>OK</v>
      </c>
    </row>
    <row r="27" customFormat="false" ht="15" hidden="false" customHeight="false" outlineLevel="0" collapsed="false">
      <c r="A27" s="2" t="s">
        <v>98</v>
      </c>
      <c r="C27" s="8" t="n">
        <v>0.2</v>
      </c>
      <c r="D27" s="8" t="n">
        <v>0.2</v>
      </c>
      <c r="E27" s="8" t="n">
        <v>0.2</v>
      </c>
      <c r="F27" s="8" t="n">
        <v>0.2</v>
      </c>
      <c r="G27" s="8" t="n">
        <v>0.2</v>
      </c>
      <c r="H27" s="8" t="n">
        <v>0</v>
      </c>
      <c r="I27" s="8" t="n">
        <v>0</v>
      </c>
      <c r="J27" s="8" t="n">
        <v>0</v>
      </c>
      <c r="K27" s="15" t="n">
        <f aca="false">SUM(C27:J27)</f>
        <v>1</v>
      </c>
      <c r="L27" s="2" t="str">
        <f aca="false">IF(ROUND(K27,6)=1,"OK","ERROR - must total 100%")</f>
        <v>OK</v>
      </c>
    </row>
    <row r="28" customFormat="false" ht="15" hidden="false" customHeight="false" outlineLevel="0" collapsed="false">
      <c r="A28" s="6" t="s">
        <v>99</v>
      </c>
    </row>
    <row r="31" customFormat="false" ht="15" hidden="false" customHeight="false" outlineLevel="0" collapsed="false">
      <c r="A31" s="18" t="s">
        <v>100</v>
      </c>
      <c r="B31" s="19" t="str">
        <f aca="false">Scenarios!C$3</f>
        <v>Conservative</v>
      </c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</row>
    <row r="32" customFormat="false" ht="15" hidden="false" customHeight="false" outlineLevel="0" collapsed="false">
      <c r="A32" s="3" t="s">
        <v>101</v>
      </c>
      <c r="C32" s="17" t="n">
        <v>1</v>
      </c>
      <c r="D32" s="17" t="n">
        <v>2</v>
      </c>
      <c r="E32" s="17" t="n">
        <v>3</v>
      </c>
      <c r="F32" s="17" t="n">
        <v>4</v>
      </c>
      <c r="G32" s="17" t="n">
        <v>5</v>
      </c>
      <c r="H32" s="17" t="n">
        <v>6</v>
      </c>
      <c r="I32" s="17" t="n">
        <v>7</v>
      </c>
      <c r="J32" s="17" t="n">
        <v>8</v>
      </c>
      <c r="K32" s="17" t="n">
        <v>9</v>
      </c>
      <c r="L32" s="17" t="n">
        <v>10</v>
      </c>
      <c r="M32" s="17" t="n">
        <v>11</v>
      </c>
      <c r="N32" s="17" t="n">
        <v>12</v>
      </c>
      <c r="O32" s="17" t="n">
        <v>13</v>
      </c>
      <c r="P32" s="17" t="n">
        <v>14</v>
      </c>
      <c r="Q32" s="17" t="n">
        <v>15</v>
      </c>
    </row>
    <row r="33" customFormat="false" ht="15" hidden="false" customHeight="false" outlineLevel="0" collapsed="false">
      <c r="A33" s="3" t="s">
        <v>102</v>
      </c>
      <c r="C33" s="17" t="n">
        <f aca="false">$B$6</f>
        <v>2026</v>
      </c>
      <c r="D33" s="17" t="n">
        <f aca="false">C33+1</f>
        <v>2027</v>
      </c>
      <c r="E33" s="17" t="n">
        <f aca="false">D33+1</f>
        <v>2028</v>
      </c>
      <c r="F33" s="17" t="n">
        <f aca="false">E33+1</f>
        <v>2029</v>
      </c>
      <c r="G33" s="17" t="n">
        <f aca="false">F33+1</f>
        <v>2030</v>
      </c>
      <c r="H33" s="17" t="n">
        <f aca="false">G33+1</f>
        <v>2031</v>
      </c>
      <c r="I33" s="17" t="n">
        <f aca="false">H33+1</f>
        <v>2032</v>
      </c>
      <c r="J33" s="17" t="n">
        <f aca="false">I33+1</f>
        <v>2033</v>
      </c>
      <c r="K33" s="17" t="n">
        <f aca="false">J33+1</f>
        <v>2034</v>
      </c>
      <c r="L33" s="17" t="n">
        <f aca="false">K33+1</f>
        <v>2035</v>
      </c>
      <c r="M33" s="17" t="n">
        <f aca="false">L33+1</f>
        <v>2036</v>
      </c>
      <c r="N33" s="17" t="n">
        <f aca="false">M33+1</f>
        <v>2037</v>
      </c>
      <c r="O33" s="17" t="n">
        <f aca="false">N33+1</f>
        <v>2038</v>
      </c>
      <c r="P33" s="17" t="n">
        <f aca="false">O33+1</f>
        <v>2039</v>
      </c>
      <c r="Q33" s="17" t="n">
        <f aca="false">P33+1</f>
        <v>2040</v>
      </c>
    </row>
    <row r="34" customFormat="false" ht="15" hidden="false" customHeight="false" outlineLevel="0" collapsed="false">
      <c r="A34" s="2" t="s">
        <v>103</v>
      </c>
      <c r="C34" s="21" t="n">
        <f aca="false">$B$17</f>
        <v>180</v>
      </c>
      <c r="D34" s="21" t="n">
        <f aca="false">C34*(1+Scenarios!$C$4)</f>
        <v>180</v>
      </c>
      <c r="E34" s="21" t="n">
        <f aca="false">D34*(1+Scenarios!$C$4)</f>
        <v>180</v>
      </c>
      <c r="F34" s="21" t="n">
        <f aca="false">E34*(1+Scenarios!$C$4)</f>
        <v>180</v>
      </c>
      <c r="G34" s="21" t="n">
        <f aca="false">F34*(1+Scenarios!$C$4)</f>
        <v>180</v>
      </c>
      <c r="H34" s="21" t="n">
        <f aca="false">G34*(1+Scenarios!$C$4)</f>
        <v>180</v>
      </c>
      <c r="I34" s="21" t="n">
        <f aca="false">H34*(1+Scenarios!$C$4)</f>
        <v>180</v>
      </c>
      <c r="J34" s="21" t="n">
        <f aca="false">I34*(1+Scenarios!$C$4)</f>
        <v>180</v>
      </c>
      <c r="K34" s="21" t="n">
        <f aca="false">J34*(1+Scenarios!$C$4)</f>
        <v>180</v>
      </c>
      <c r="L34" s="21" t="n">
        <f aca="false">K34*(1+Scenarios!$C$4)</f>
        <v>180</v>
      </c>
      <c r="M34" s="21" t="n">
        <f aca="false">L34*(1+Scenarios!$C$4)</f>
        <v>180</v>
      </c>
      <c r="N34" s="21" t="n">
        <f aca="false">M34*(1+Scenarios!$C$4)</f>
        <v>180</v>
      </c>
      <c r="O34" s="21" t="n">
        <f aca="false">N34*(1+Scenarios!$C$4)</f>
        <v>180</v>
      </c>
      <c r="P34" s="21" t="n">
        <f aca="false">O34*(1+Scenarios!$C$4)</f>
        <v>180</v>
      </c>
      <c r="Q34" s="21" t="n">
        <f aca="false">P34*(1+Scenarios!$C$4)</f>
        <v>180</v>
      </c>
    </row>
    <row r="35" customFormat="false" ht="15" hidden="false" customHeight="false" outlineLevel="0" collapsed="false">
      <c r="A35" s="2" t="s">
        <v>104</v>
      </c>
      <c r="C35" s="22" t="n">
        <f aca="false">$B$7</f>
        <v>190000</v>
      </c>
      <c r="D35" s="22" t="n">
        <f aca="false">C35*(1+$B$8*Scenarios!$C$5)</f>
        <v>192850</v>
      </c>
      <c r="E35" s="22" t="n">
        <f aca="false">D35*(1+$B$8*Scenarios!$C$5)</f>
        <v>195742.75</v>
      </c>
      <c r="F35" s="22" t="n">
        <f aca="false">E35*(1+$B$8*Scenarios!$C$5)</f>
        <v>198678.89125</v>
      </c>
      <c r="G35" s="22" t="n">
        <f aca="false">F35*(1+$B$8*Scenarios!$C$5)</f>
        <v>201659.07461875</v>
      </c>
      <c r="H35" s="22" t="n">
        <f aca="false">G35*(1+$B$8*Scenarios!$C$5)</f>
        <v>204683.960738031</v>
      </c>
      <c r="I35" s="22" t="n">
        <f aca="false">H35*(1+$B$8*Scenarios!$C$5)</f>
        <v>207754.220149102</v>
      </c>
      <c r="J35" s="22" t="n">
        <f aca="false">I35*(1+$B$8*Scenarios!$C$5)</f>
        <v>210870.533451338</v>
      </c>
      <c r="K35" s="22" t="n">
        <f aca="false">J35*(1+$B$8*Scenarios!$C$5)</f>
        <v>214033.591453108</v>
      </c>
      <c r="L35" s="22" t="n">
        <f aca="false">K35*(1+$B$8*Scenarios!$C$5)</f>
        <v>217244.095324905</v>
      </c>
      <c r="M35" s="22" t="n">
        <f aca="false">L35*(1+$B$8*Scenarios!$C$5)</f>
        <v>220502.756754778</v>
      </c>
      <c r="N35" s="22" t="n">
        <f aca="false">M35*(1+$B$8*Scenarios!$C$5)</f>
        <v>223810.2981061</v>
      </c>
      <c r="O35" s="22" t="n">
        <f aca="false">N35*(1+$B$8*Scenarios!$C$5)</f>
        <v>227167.452577691</v>
      </c>
      <c r="P35" s="22" t="n">
        <f aca="false">O35*(1+$B$8*Scenarios!$C$5)</f>
        <v>230574.964366357</v>
      </c>
      <c r="Q35" s="22" t="n">
        <f aca="false">P35*(1+$B$8*Scenarios!$C$5)</f>
        <v>234033.588831852</v>
      </c>
    </row>
    <row r="36" customFormat="false" ht="15" hidden="false" customHeight="false" outlineLevel="0" collapsed="false">
      <c r="A36" s="2" t="s">
        <v>105</v>
      </c>
      <c r="C36" s="22" t="n">
        <f aca="false">IF($B$10="Prior",0,C35)</f>
        <v>190000</v>
      </c>
      <c r="D36" s="22" t="n">
        <f aca="false">IF($B$10="Prior",C35,D35)</f>
        <v>192850</v>
      </c>
      <c r="E36" s="22" t="n">
        <f aca="false">IF($B$10="Prior",D35,E35)</f>
        <v>195742.75</v>
      </c>
      <c r="F36" s="22" t="n">
        <f aca="false">IF($B$10="Prior",E35,F35)</f>
        <v>198678.89125</v>
      </c>
      <c r="G36" s="22" t="n">
        <f aca="false">IF($B$10="Prior",F35,G35)</f>
        <v>201659.07461875</v>
      </c>
      <c r="H36" s="22" t="n">
        <f aca="false">IF($B$10="Prior",G35,H35)</f>
        <v>204683.960738031</v>
      </c>
      <c r="I36" s="22" t="n">
        <f aca="false">IF($B$10="Prior",H35,I35)</f>
        <v>207754.220149102</v>
      </c>
      <c r="J36" s="22" t="n">
        <f aca="false">IF($B$10="Prior",I35,J35)</f>
        <v>210870.533451338</v>
      </c>
      <c r="K36" s="22" t="n">
        <f aca="false">IF($B$10="Prior",J35,K35)</f>
        <v>214033.591453108</v>
      </c>
      <c r="L36" s="22" t="n">
        <f aca="false">IF($B$10="Prior",K35,L35)</f>
        <v>217244.095324905</v>
      </c>
      <c r="M36" s="22" t="n">
        <f aca="false">IF($B$10="Prior",L35,M35)</f>
        <v>220502.756754778</v>
      </c>
      <c r="N36" s="22" t="n">
        <f aca="false">IF($B$10="Prior",M35,N35)</f>
        <v>223810.2981061</v>
      </c>
      <c r="O36" s="22" t="n">
        <f aca="false">IF($B$10="Prior",N35,O35)</f>
        <v>227167.452577691</v>
      </c>
      <c r="P36" s="22" t="n">
        <f aca="false">IF($B$10="Prior",O35,P35)</f>
        <v>230574.964366357</v>
      </c>
      <c r="Q36" s="22" t="n">
        <f aca="false">IF($B$10="Prior",P35,Q35)</f>
        <v>234033.588831852</v>
      </c>
    </row>
    <row r="37" customFormat="false" ht="15" hidden="false" customHeight="false" outlineLevel="0" collapsed="false">
      <c r="A37" s="2" t="s">
        <v>106</v>
      </c>
      <c r="C37" s="22" t="n">
        <f aca="false">IF($B$11="No",0,C36*$B$9*Scenarios!$C$6)</f>
        <v>0</v>
      </c>
      <c r="D37" s="22" t="n">
        <f aca="false">D36*$B$9*Scenarios!$C$6</f>
        <v>21695.625</v>
      </c>
      <c r="E37" s="22" t="n">
        <f aca="false">E36*$B$9*Scenarios!$C$6</f>
        <v>22021.059375</v>
      </c>
      <c r="F37" s="22" t="n">
        <f aca="false">F36*$B$9*Scenarios!$C$6</f>
        <v>22351.375265625</v>
      </c>
      <c r="G37" s="22" t="n">
        <f aca="false">G36*$B$9*Scenarios!$C$6</f>
        <v>22686.6458946094</v>
      </c>
      <c r="H37" s="22" t="n">
        <f aca="false">H36*$B$9*Scenarios!$C$6</f>
        <v>23026.9455830285</v>
      </c>
      <c r="I37" s="22" t="n">
        <f aca="false">I36*$B$9*Scenarios!$C$6</f>
        <v>23372.3497667739</v>
      </c>
      <c r="J37" s="22" t="n">
        <f aca="false">J36*$B$9*Scenarios!$C$6</f>
        <v>23722.9350132755</v>
      </c>
      <c r="K37" s="22" t="n">
        <f aca="false">K36*$B$9*Scenarios!$C$6</f>
        <v>24078.7790384747</v>
      </c>
      <c r="L37" s="22" t="n">
        <f aca="false">L36*$B$9*Scenarios!$C$6</f>
        <v>24439.9607240518</v>
      </c>
      <c r="M37" s="22" t="n">
        <f aca="false">M36*$B$9*Scenarios!$C$6</f>
        <v>24806.5601349126</v>
      </c>
      <c r="N37" s="22" t="n">
        <f aca="false">N36*$B$9*Scenarios!$C$6</f>
        <v>25178.6585369362</v>
      </c>
      <c r="O37" s="22" t="n">
        <f aca="false">O36*$B$9*Scenarios!$C$6</f>
        <v>25556.3384149903</v>
      </c>
      <c r="P37" s="22" t="n">
        <f aca="false">P36*$B$9*Scenarios!$C$6</f>
        <v>25939.6834912151</v>
      </c>
      <c r="Q37" s="22" t="n">
        <f aca="false">Q36*$B$9*Scenarios!$C$6</f>
        <v>26328.7787435834</v>
      </c>
    </row>
    <row r="38" customFormat="false" ht="15" hidden="false" customHeight="false" outlineLevel="0" collapsed="false">
      <c r="A38" s="2" t="s">
        <v>107</v>
      </c>
      <c r="C38" s="22" t="n">
        <f aca="false">$B$12*$B$13</f>
        <v>25000</v>
      </c>
      <c r="D38" s="22" t="n">
        <f aca="false">$B$12*$B$14</f>
        <v>25000</v>
      </c>
      <c r="E38" s="22" t="n">
        <f aca="false">$B$12*$B$15</f>
        <v>0</v>
      </c>
      <c r="F38" s="22" t="n">
        <v>0</v>
      </c>
      <c r="G38" s="22" t="n">
        <v>0</v>
      </c>
      <c r="H38" s="22" t="n">
        <v>0</v>
      </c>
      <c r="I38" s="22" t="n">
        <v>0</v>
      </c>
      <c r="J38" s="22" t="n">
        <v>0</v>
      </c>
      <c r="K38" s="22" t="n">
        <v>0</v>
      </c>
      <c r="L38" s="22" t="n">
        <v>0</v>
      </c>
      <c r="M38" s="22" t="n">
        <v>0</v>
      </c>
      <c r="N38" s="22" t="n">
        <v>0</v>
      </c>
      <c r="O38" s="22" t="n">
        <v>0</v>
      </c>
      <c r="P38" s="22" t="n">
        <v>0</v>
      </c>
      <c r="Q38" s="22" t="n">
        <v>0</v>
      </c>
    </row>
    <row r="40" customFormat="false" ht="15" hidden="false" customHeight="false" outlineLevel="0" collapsed="false">
      <c r="A40" s="3" t="s">
        <v>108</v>
      </c>
      <c r="S40" s="7" t="s">
        <v>109</v>
      </c>
      <c r="T40" s="7" t="s">
        <v>110</v>
      </c>
      <c r="U40" s="7" t="s">
        <v>111</v>
      </c>
      <c r="V40" s="7" t="s">
        <v>112</v>
      </c>
      <c r="W40" s="7" t="s">
        <v>113</v>
      </c>
    </row>
    <row r="41" customFormat="false" ht="15" hidden="false" customHeight="false" outlineLevel="0" collapsed="false">
      <c r="A41" s="2" t="s">
        <v>97</v>
      </c>
      <c r="C41" s="22" t="n">
        <f aca="false">IF(AND(C$33-$S41+1-$B$22&gt;=1,C$33-$S41+1-$B$22&lt;=8),INDEX($C$26:$J$26,1,C$33-$S41+1-$B$22),0)*$U41*C$34</f>
        <v>0</v>
      </c>
      <c r="D41" s="22" t="n">
        <f aca="false">IF(AND(D$33-$S41+1-$B$22&gt;=1,D$33-$S41+1-$B$22&lt;=8),INDEX($C$26:$J$26,1,D$33-$S41+1-$B$22),0)*$U41*D$34</f>
        <v>100000</v>
      </c>
      <c r="E41" s="22" t="n">
        <f aca="false">IF(AND(E$33-$S41+1-$B$22&gt;=1,E$33-$S41+1-$B$22&lt;=8),INDEX($C$26:$J$26,1,E$33-$S41+1-$B$22),0)*$U41*E$34</f>
        <v>100000</v>
      </c>
      <c r="F41" s="22" t="n">
        <f aca="false">IF(AND(F$33-$S41+1-$B$22&gt;=1,F$33-$S41+1-$B$22&lt;=8),INDEX($C$26:$J$26,1,F$33-$S41+1-$B$22),0)*$U41*F$34</f>
        <v>100000</v>
      </c>
      <c r="G41" s="22" t="n">
        <f aca="false">IF(AND(G$33-$S41+1-$B$22&gt;=1,G$33-$S41+1-$B$22&lt;=8),INDEX($C$26:$J$26,1,G$33-$S41+1-$B$22),0)*$U41*G$34</f>
        <v>100000</v>
      </c>
      <c r="H41" s="22" t="n">
        <f aca="false">IF(AND(H$33-$S41+1-$B$22&gt;=1,H$33-$S41+1-$B$22&lt;=8),INDEX($C$26:$J$26,1,H$33-$S41+1-$B$22),0)*$U41*H$34</f>
        <v>100000</v>
      </c>
      <c r="I41" s="22" t="n">
        <f aca="false">IF(AND(I$33-$S41+1-$B$22&gt;=1,I$33-$S41+1-$B$22&lt;=8),INDEX($C$26:$J$26,1,I$33-$S41+1-$B$22),0)*$U41*I$34</f>
        <v>0</v>
      </c>
      <c r="J41" s="22" t="n">
        <f aca="false">IF(AND(J$33-$S41+1-$B$22&gt;=1,J$33-$S41+1-$B$22&lt;=8),INDEX($C$26:$J$26,1,J$33-$S41+1-$B$22),0)*$U41*J$34</f>
        <v>0</v>
      </c>
      <c r="K41" s="22" t="n">
        <f aca="false">IF(AND(K$33-$S41+1-$B$22&gt;=1,K$33-$S41+1-$B$22&lt;=8),INDEX($C$26:$J$26,1,K$33-$S41+1-$B$22),0)*$U41*K$34</f>
        <v>0</v>
      </c>
      <c r="L41" s="22" t="n">
        <f aca="false">IF(AND(L$33-$S41+1-$B$22&gt;=1,L$33-$S41+1-$B$22&lt;=8),INDEX($C$26:$J$26,1,L$33-$S41+1-$B$22),0)*$U41*L$34</f>
        <v>0</v>
      </c>
      <c r="M41" s="22" t="n">
        <f aca="false">IF(AND(M$33-$S41+1-$B$22&gt;=1,M$33-$S41+1-$B$22&lt;=8),INDEX($C$26:$J$26,1,M$33-$S41+1-$B$22),0)*$U41*M$34</f>
        <v>0</v>
      </c>
      <c r="N41" s="22" t="n">
        <f aca="false">IF(AND(N$33-$S41+1-$B$22&gt;=1,N$33-$S41+1-$B$22&lt;=8),INDEX($C$26:$J$26,1,N$33-$S41+1-$B$22),0)*$U41*N$34</f>
        <v>0</v>
      </c>
      <c r="O41" s="22" t="n">
        <f aca="false">IF(AND(O$33-$S41+1-$B$22&gt;=1,O$33-$S41+1-$B$22&lt;=8),INDEX($C$26:$J$26,1,O$33-$S41+1-$B$22),0)*$U41*O$34</f>
        <v>0</v>
      </c>
      <c r="P41" s="22" t="n">
        <f aca="false">IF(AND(P$33-$S41+1-$B$22&gt;=1,P$33-$S41+1-$B$22&lt;=8),INDEX($C$26:$J$26,1,P$33-$S41+1-$B$22),0)*$U41*P$34</f>
        <v>0</v>
      </c>
      <c r="Q41" s="22" t="n">
        <f aca="false">IF(AND(Q$33-$S41+1-$B$22&gt;=1,Q$33-$S41+1-$B$22&lt;=8),INDEX($C$26:$J$26,1,Q$33-$S41+1-$B$22),0)*$U41*Q$34</f>
        <v>0</v>
      </c>
      <c r="S41" s="23" t="n">
        <f aca="false">$B$6</f>
        <v>2026</v>
      </c>
      <c r="T41" s="22" t="n">
        <f aca="false">$B$18</f>
        <v>500000</v>
      </c>
      <c r="U41" s="24" t="n">
        <f aca="false">IFERROR(T41/$B$17,0)</f>
        <v>2777.77777777778</v>
      </c>
      <c r="V41" s="24" t="n">
        <f aca="false">SUMPRODUCT(($C$25:$J$25&lt;=$Q$33-$S41+1-$B$22)*$C$26:$J$26)*$U41</f>
        <v>2777.77777777778</v>
      </c>
      <c r="W41" s="24" t="n">
        <f aca="false">$U41-$V41</f>
        <v>0</v>
      </c>
    </row>
    <row r="42" customFormat="false" ht="15" hidden="false" customHeight="false" outlineLevel="0" collapsed="false">
      <c r="A42" s="2" t="s">
        <v>114</v>
      </c>
      <c r="C42" s="22" t="n">
        <f aca="false">IF(AND(C$33-$S42+1-$B$22&gt;=1,C$33-$S42+1-$B$22&lt;=8),INDEX($C$27:$J$27,1,C$33-$S42+1-$B$22),0)*$U42*C$34</f>
        <v>0</v>
      </c>
      <c r="D42" s="22" t="n">
        <f aca="false">IF(AND(D$33-$S42+1-$B$22&gt;=1,D$33-$S42+1-$B$22&lt;=8),INDEX($C$27:$J$27,1,D$33-$S42+1-$B$22),0)*$U42*D$34</f>
        <v>0</v>
      </c>
      <c r="E42" s="22" t="n">
        <f aca="false">IF(AND(E$33-$S42+1-$B$22&gt;=1,E$33-$S42+1-$B$22&lt;=8),INDEX($C$27:$J$27,1,E$33-$S42+1-$B$22),0)*$U42*E$34</f>
        <v>20000</v>
      </c>
      <c r="F42" s="22" t="n">
        <f aca="false">IF(AND(F$33-$S42+1-$B$22&gt;=1,F$33-$S42+1-$B$22&lt;=8),INDEX($C$27:$J$27,1,F$33-$S42+1-$B$22),0)*$U42*F$34</f>
        <v>20000</v>
      </c>
      <c r="G42" s="22" t="n">
        <f aca="false">IF(AND(G$33-$S42+1-$B$22&gt;=1,G$33-$S42+1-$B$22&lt;=8),INDEX($C$27:$J$27,1,G$33-$S42+1-$B$22),0)*$U42*G$34</f>
        <v>20000</v>
      </c>
      <c r="H42" s="22" t="n">
        <f aca="false">IF(AND(H$33-$S42+1-$B$22&gt;=1,H$33-$S42+1-$B$22&lt;=8),INDEX($C$27:$J$27,1,H$33-$S42+1-$B$22),0)*$U42*H$34</f>
        <v>20000</v>
      </c>
      <c r="I42" s="22" t="n">
        <f aca="false">IF(AND(I$33-$S42+1-$B$22&gt;=1,I$33-$S42+1-$B$22&lt;=8),INDEX($C$27:$J$27,1,I$33-$S42+1-$B$22),0)*$U42*I$34</f>
        <v>20000</v>
      </c>
      <c r="J42" s="22" t="n">
        <f aca="false">IF(AND(J$33-$S42+1-$B$22&gt;=1,J$33-$S42+1-$B$22&lt;=8),INDEX($C$27:$J$27,1,J$33-$S42+1-$B$22),0)*$U42*J$34</f>
        <v>0</v>
      </c>
      <c r="K42" s="22" t="n">
        <f aca="false">IF(AND(K$33-$S42+1-$B$22&gt;=1,K$33-$S42+1-$B$22&lt;=8),INDEX($C$27:$J$27,1,K$33-$S42+1-$B$22),0)*$U42*K$34</f>
        <v>0</v>
      </c>
      <c r="L42" s="22" t="n">
        <f aca="false">IF(AND(L$33-$S42+1-$B$22&gt;=1,L$33-$S42+1-$B$22&lt;=8),INDEX($C$27:$J$27,1,L$33-$S42+1-$B$22),0)*$U42*L$34</f>
        <v>0</v>
      </c>
      <c r="M42" s="22" t="n">
        <f aca="false">IF(AND(M$33-$S42+1-$B$22&gt;=1,M$33-$S42+1-$B$22&lt;=8),INDEX($C$27:$J$27,1,M$33-$S42+1-$B$22),0)*$U42*M$34</f>
        <v>0</v>
      </c>
      <c r="N42" s="22" t="n">
        <f aca="false">IF(AND(N$33-$S42+1-$B$22&gt;=1,N$33-$S42+1-$B$22&lt;=8),INDEX($C$27:$J$27,1,N$33-$S42+1-$B$22),0)*$U42*N$34</f>
        <v>0</v>
      </c>
      <c r="O42" s="22" t="n">
        <f aca="false">IF(AND(O$33-$S42+1-$B$22&gt;=1,O$33-$S42+1-$B$22&lt;=8),INDEX($C$27:$J$27,1,O$33-$S42+1-$B$22),0)*$U42*O$34</f>
        <v>0</v>
      </c>
      <c r="P42" s="22" t="n">
        <f aca="false">IF(AND(P$33-$S42+1-$B$22&gt;=1,P$33-$S42+1-$B$22&lt;=8),INDEX($C$27:$J$27,1,P$33-$S42+1-$B$22),0)*$U42*P$34</f>
        <v>0</v>
      </c>
      <c r="Q42" s="22" t="n">
        <f aca="false">IF(AND(Q$33-$S42+1-$B$22&gt;=1,Q$33-$S42+1-$B$22&lt;=8),INDEX($C$27:$J$27,1,Q$33-$S42+1-$B$22),0)*$U42*Q$34</f>
        <v>0</v>
      </c>
      <c r="S42" s="23" t="n">
        <f aca="false">$B$20+0</f>
        <v>2027</v>
      </c>
      <c r="T42" s="22" t="n">
        <f aca="false">IF($S42&gt;$B$20+Scenarios!$C$8-1,0,$B$19*(1+$B$21*Scenarios!$C$7)^0)</f>
        <v>100000</v>
      </c>
      <c r="U42" s="24" t="n">
        <f aca="false">IFERROR($T42/INDEX($C$34:$Q$34,1,MATCH($S42,$C$33:$Q$33,0)),0)</f>
        <v>555.555555555556</v>
      </c>
      <c r="V42" s="24" t="n">
        <f aca="false">SUMPRODUCT(($C$25:$J$25&lt;=$Q$33-$S42+1-$B$22)*$C$27:$J$27)*$U42</f>
        <v>555.555555555556</v>
      </c>
      <c r="W42" s="24" t="n">
        <f aca="false">$U42-$V42</f>
        <v>0</v>
      </c>
    </row>
    <row r="43" customFormat="false" ht="15" hidden="false" customHeight="false" outlineLevel="0" collapsed="false">
      <c r="A43" s="2" t="s">
        <v>115</v>
      </c>
      <c r="C43" s="22" t="n">
        <f aca="false">IF(AND(C$33-$S43+1-$B$22&gt;=1,C$33-$S43+1-$B$22&lt;=8),INDEX($C$27:$J$27,1,C$33-$S43+1-$B$22),0)*$U43*C$34</f>
        <v>0</v>
      </c>
      <c r="D43" s="22" t="n">
        <f aca="false">IF(AND(D$33-$S43+1-$B$22&gt;=1,D$33-$S43+1-$B$22&lt;=8),INDEX($C$27:$J$27,1,D$33-$S43+1-$B$22),0)*$U43*D$34</f>
        <v>0</v>
      </c>
      <c r="E43" s="22" t="n">
        <f aca="false">IF(AND(E$33-$S43+1-$B$22&gt;=1,E$33-$S43+1-$B$22&lt;=8),INDEX($C$27:$J$27,1,E$33-$S43+1-$B$22),0)*$U43*E$34</f>
        <v>0</v>
      </c>
      <c r="F43" s="22" t="n">
        <f aca="false">IF(AND(F$33-$S43+1-$B$22&gt;=1,F$33-$S43+1-$B$22&lt;=8),INDEX($C$27:$J$27,1,F$33-$S43+1-$B$22),0)*$U43*F$34</f>
        <v>20000</v>
      </c>
      <c r="G43" s="22" t="n">
        <f aca="false">IF(AND(G$33-$S43+1-$B$22&gt;=1,G$33-$S43+1-$B$22&lt;=8),INDEX($C$27:$J$27,1,G$33-$S43+1-$B$22),0)*$U43*G$34</f>
        <v>20000</v>
      </c>
      <c r="H43" s="22" t="n">
        <f aca="false">IF(AND(H$33-$S43+1-$B$22&gt;=1,H$33-$S43+1-$B$22&lt;=8),INDEX($C$27:$J$27,1,H$33-$S43+1-$B$22),0)*$U43*H$34</f>
        <v>20000</v>
      </c>
      <c r="I43" s="22" t="n">
        <f aca="false">IF(AND(I$33-$S43+1-$B$22&gt;=1,I$33-$S43+1-$B$22&lt;=8),INDEX($C$27:$J$27,1,I$33-$S43+1-$B$22),0)*$U43*I$34</f>
        <v>20000</v>
      </c>
      <c r="J43" s="22" t="n">
        <f aca="false">IF(AND(J$33-$S43+1-$B$22&gt;=1,J$33-$S43+1-$B$22&lt;=8),INDEX($C$27:$J$27,1,J$33-$S43+1-$B$22),0)*$U43*J$34</f>
        <v>20000</v>
      </c>
      <c r="K43" s="22" t="n">
        <f aca="false">IF(AND(K$33-$S43+1-$B$22&gt;=1,K$33-$S43+1-$B$22&lt;=8),INDEX($C$27:$J$27,1,K$33-$S43+1-$B$22),0)*$U43*K$34</f>
        <v>0</v>
      </c>
      <c r="L43" s="22" t="n">
        <f aca="false">IF(AND(L$33-$S43+1-$B$22&gt;=1,L$33-$S43+1-$B$22&lt;=8),INDEX($C$27:$J$27,1,L$33-$S43+1-$B$22),0)*$U43*L$34</f>
        <v>0</v>
      </c>
      <c r="M43" s="22" t="n">
        <f aca="false">IF(AND(M$33-$S43+1-$B$22&gt;=1,M$33-$S43+1-$B$22&lt;=8),INDEX($C$27:$J$27,1,M$33-$S43+1-$B$22),0)*$U43*M$34</f>
        <v>0</v>
      </c>
      <c r="N43" s="22" t="n">
        <f aca="false">IF(AND(N$33-$S43+1-$B$22&gt;=1,N$33-$S43+1-$B$22&lt;=8),INDEX($C$27:$J$27,1,N$33-$S43+1-$B$22),0)*$U43*N$34</f>
        <v>0</v>
      </c>
      <c r="O43" s="22" t="n">
        <f aca="false">IF(AND(O$33-$S43+1-$B$22&gt;=1,O$33-$S43+1-$B$22&lt;=8),INDEX($C$27:$J$27,1,O$33-$S43+1-$B$22),0)*$U43*O$34</f>
        <v>0</v>
      </c>
      <c r="P43" s="22" t="n">
        <f aca="false">IF(AND(P$33-$S43+1-$B$22&gt;=1,P$33-$S43+1-$B$22&lt;=8),INDEX($C$27:$J$27,1,P$33-$S43+1-$B$22),0)*$U43*P$34</f>
        <v>0</v>
      </c>
      <c r="Q43" s="22" t="n">
        <f aca="false">IF(AND(Q$33-$S43+1-$B$22&gt;=1,Q$33-$S43+1-$B$22&lt;=8),INDEX($C$27:$J$27,1,Q$33-$S43+1-$B$22),0)*$U43*Q$34</f>
        <v>0</v>
      </c>
      <c r="S43" s="23" t="n">
        <f aca="false">$B$20+1</f>
        <v>2028</v>
      </c>
      <c r="T43" s="22" t="n">
        <f aca="false">IF($S43&gt;$B$20+Scenarios!$C$8-1,0,$B$19*(1+$B$21*Scenarios!$C$7)^1)</f>
        <v>100000</v>
      </c>
      <c r="U43" s="24" t="n">
        <f aca="false">IFERROR($T43/INDEX($C$34:$Q$34,1,MATCH($S43,$C$33:$Q$33,0)),0)</f>
        <v>555.555555555556</v>
      </c>
      <c r="V43" s="24" t="n">
        <f aca="false">SUMPRODUCT(($C$25:$J$25&lt;=$Q$33-$S43+1-$B$22)*$C$27:$J$27)*$U43</f>
        <v>555.555555555556</v>
      </c>
      <c r="W43" s="24" t="n">
        <f aca="false">$U43-$V43</f>
        <v>0</v>
      </c>
    </row>
    <row r="44" customFormat="false" ht="15" hidden="false" customHeight="false" outlineLevel="0" collapsed="false">
      <c r="A44" s="2" t="s">
        <v>116</v>
      </c>
      <c r="C44" s="22" t="n">
        <f aca="false">IF(AND(C$33-$S44+1-$B$22&gt;=1,C$33-$S44+1-$B$22&lt;=8),INDEX($C$27:$J$27,1,C$33-$S44+1-$B$22),0)*$U44*C$34</f>
        <v>0</v>
      </c>
      <c r="D44" s="22" t="n">
        <f aca="false">IF(AND(D$33-$S44+1-$B$22&gt;=1,D$33-$S44+1-$B$22&lt;=8),INDEX($C$27:$J$27,1,D$33-$S44+1-$B$22),0)*$U44*D$34</f>
        <v>0</v>
      </c>
      <c r="E44" s="22" t="n">
        <f aca="false">IF(AND(E$33-$S44+1-$B$22&gt;=1,E$33-$S44+1-$B$22&lt;=8),INDEX($C$27:$J$27,1,E$33-$S44+1-$B$22),0)*$U44*E$34</f>
        <v>0</v>
      </c>
      <c r="F44" s="22" t="n">
        <f aca="false">IF(AND(F$33-$S44+1-$B$22&gt;=1,F$33-$S44+1-$B$22&lt;=8),INDEX($C$27:$J$27,1,F$33-$S44+1-$B$22),0)*$U44*F$34</f>
        <v>0</v>
      </c>
      <c r="G44" s="22" t="n">
        <f aca="false">IF(AND(G$33-$S44+1-$B$22&gt;=1,G$33-$S44+1-$B$22&lt;=8),INDEX($C$27:$J$27,1,G$33-$S44+1-$B$22),0)*$U44*G$34</f>
        <v>20000</v>
      </c>
      <c r="H44" s="22" t="n">
        <f aca="false">IF(AND(H$33-$S44+1-$B$22&gt;=1,H$33-$S44+1-$B$22&lt;=8),INDEX($C$27:$J$27,1,H$33-$S44+1-$B$22),0)*$U44*H$34</f>
        <v>20000</v>
      </c>
      <c r="I44" s="22" t="n">
        <f aca="false">IF(AND(I$33-$S44+1-$B$22&gt;=1,I$33-$S44+1-$B$22&lt;=8),INDEX($C$27:$J$27,1,I$33-$S44+1-$B$22),0)*$U44*I$34</f>
        <v>20000</v>
      </c>
      <c r="J44" s="22" t="n">
        <f aca="false">IF(AND(J$33-$S44+1-$B$22&gt;=1,J$33-$S44+1-$B$22&lt;=8),INDEX($C$27:$J$27,1,J$33-$S44+1-$B$22),0)*$U44*J$34</f>
        <v>20000</v>
      </c>
      <c r="K44" s="22" t="n">
        <f aca="false">IF(AND(K$33-$S44+1-$B$22&gt;=1,K$33-$S44+1-$B$22&lt;=8),INDEX($C$27:$J$27,1,K$33-$S44+1-$B$22),0)*$U44*K$34</f>
        <v>20000</v>
      </c>
      <c r="L44" s="22" t="n">
        <f aca="false">IF(AND(L$33-$S44+1-$B$22&gt;=1,L$33-$S44+1-$B$22&lt;=8),INDEX($C$27:$J$27,1,L$33-$S44+1-$B$22),0)*$U44*L$34</f>
        <v>0</v>
      </c>
      <c r="M44" s="22" t="n">
        <f aca="false">IF(AND(M$33-$S44+1-$B$22&gt;=1,M$33-$S44+1-$B$22&lt;=8),INDEX($C$27:$J$27,1,M$33-$S44+1-$B$22),0)*$U44*M$34</f>
        <v>0</v>
      </c>
      <c r="N44" s="22" t="n">
        <f aca="false">IF(AND(N$33-$S44+1-$B$22&gt;=1,N$33-$S44+1-$B$22&lt;=8),INDEX($C$27:$J$27,1,N$33-$S44+1-$B$22),0)*$U44*N$34</f>
        <v>0</v>
      </c>
      <c r="O44" s="22" t="n">
        <f aca="false">IF(AND(O$33-$S44+1-$B$22&gt;=1,O$33-$S44+1-$B$22&lt;=8),INDEX($C$27:$J$27,1,O$33-$S44+1-$B$22),0)*$U44*O$34</f>
        <v>0</v>
      </c>
      <c r="P44" s="22" t="n">
        <f aca="false">IF(AND(P$33-$S44+1-$B$22&gt;=1,P$33-$S44+1-$B$22&lt;=8),INDEX($C$27:$J$27,1,P$33-$S44+1-$B$22),0)*$U44*P$34</f>
        <v>0</v>
      </c>
      <c r="Q44" s="22" t="n">
        <f aca="false">IF(AND(Q$33-$S44+1-$B$22&gt;=1,Q$33-$S44+1-$B$22&lt;=8),INDEX($C$27:$J$27,1,Q$33-$S44+1-$B$22),0)*$U44*Q$34</f>
        <v>0</v>
      </c>
      <c r="S44" s="23" t="n">
        <f aca="false">$B$20+2</f>
        <v>2029</v>
      </c>
      <c r="T44" s="22" t="n">
        <f aca="false">IF($S44&gt;$B$20+Scenarios!$C$8-1,0,$B$19*(1+$B$21*Scenarios!$C$7)^2)</f>
        <v>100000</v>
      </c>
      <c r="U44" s="24" t="n">
        <f aca="false">IFERROR($T44/INDEX($C$34:$Q$34,1,MATCH($S44,$C$33:$Q$33,0)),0)</f>
        <v>555.555555555556</v>
      </c>
      <c r="V44" s="24" t="n">
        <f aca="false">SUMPRODUCT(($C$25:$J$25&lt;=$Q$33-$S44+1-$B$22)*$C$27:$J$27)*$U44</f>
        <v>555.555555555556</v>
      </c>
      <c r="W44" s="24" t="n">
        <f aca="false">$U44-$V44</f>
        <v>0</v>
      </c>
    </row>
    <row r="45" customFormat="false" ht="15" hidden="false" customHeight="false" outlineLevel="0" collapsed="false">
      <c r="A45" s="2" t="s">
        <v>117</v>
      </c>
      <c r="C45" s="22" t="n">
        <f aca="false">IF(AND(C$33-$S45+1-$B$22&gt;=1,C$33-$S45+1-$B$22&lt;=8),INDEX($C$27:$J$27,1,C$33-$S45+1-$B$22),0)*$U45*C$34</f>
        <v>0</v>
      </c>
      <c r="D45" s="22" t="n">
        <f aca="false">IF(AND(D$33-$S45+1-$B$22&gt;=1,D$33-$S45+1-$B$22&lt;=8),INDEX($C$27:$J$27,1,D$33-$S45+1-$B$22),0)*$U45*D$34</f>
        <v>0</v>
      </c>
      <c r="E45" s="22" t="n">
        <f aca="false">IF(AND(E$33-$S45+1-$B$22&gt;=1,E$33-$S45+1-$B$22&lt;=8),INDEX($C$27:$J$27,1,E$33-$S45+1-$B$22),0)*$U45*E$34</f>
        <v>0</v>
      </c>
      <c r="F45" s="22" t="n">
        <f aca="false">IF(AND(F$33-$S45+1-$B$22&gt;=1,F$33-$S45+1-$B$22&lt;=8),INDEX($C$27:$J$27,1,F$33-$S45+1-$B$22),0)*$U45*F$34</f>
        <v>0</v>
      </c>
      <c r="G45" s="22" t="n">
        <f aca="false">IF(AND(G$33-$S45+1-$B$22&gt;=1,G$33-$S45+1-$B$22&lt;=8),INDEX($C$27:$J$27,1,G$33-$S45+1-$B$22),0)*$U45*G$34</f>
        <v>0</v>
      </c>
      <c r="H45" s="22" t="n">
        <f aca="false">IF(AND(H$33-$S45+1-$B$22&gt;=1,H$33-$S45+1-$B$22&lt;=8),INDEX($C$27:$J$27,1,H$33-$S45+1-$B$22),0)*$U45*H$34</f>
        <v>20000</v>
      </c>
      <c r="I45" s="22" t="n">
        <f aca="false">IF(AND(I$33-$S45+1-$B$22&gt;=1,I$33-$S45+1-$B$22&lt;=8),INDEX($C$27:$J$27,1,I$33-$S45+1-$B$22),0)*$U45*I$34</f>
        <v>20000</v>
      </c>
      <c r="J45" s="22" t="n">
        <f aca="false">IF(AND(J$33-$S45+1-$B$22&gt;=1,J$33-$S45+1-$B$22&lt;=8),INDEX($C$27:$J$27,1,J$33-$S45+1-$B$22),0)*$U45*J$34</f>
        <v>20000</v>
      </c>
      <c r="K45" s="22" t="n">
        <f aca="false">IF(AND(K$33-$S45+1-$B$22&gt;=1,K$33-$S45+1-$B$22&lt;=8),INDEX($C$27:$J$27,1,K$33-$S45+1-$B$22),0)*$U45*K$34</f>
        <v>20000</v>
      </c>
      <c r="L45" s="22" t="n">
        <f aca="false">IF(AND(L$33-$S45+1-$B$22&gt;=1,L$33-$S45+1-$B$22&lt;=8),INDEX($C$27:$J$27,1,L$33-$S45+1-$B$22),0)*$U45*L$34</f>
        <v>20000</v>
      </c>
      <c r="M45" s="22" t="n">
        <f aca="false">IF(AND(M$33-$S45+1-$B$22&gt;=1,M$33-$S45+1-$B$22&lt;=8),INDEX($C$27:$J$27,1,M$33-$S45+1-$B$22),0)*$U45*M$34</f>
        <v>0</v>
      </c>
      <c r="N45" s="22" t="n">
        <f aca="false">IF(AND(N$33-$S45+1-$B$22&gt;=1,N$33-$S45+1-$B$22&lt;=8),INDEX($C$27:$J$27,1,N$33-$S45+1-$B$22),0)*$U45*N$34</f>
        <v>0</v>
      </c>
      <c r="O45" s="22" t="n">
        <f aca="false">IF(AND(O$33-$S45+1-$B$22&gt;=1,O$33-$S45+1-$B$22&lt;=8),INDEX($C$27:$J$27,1,O$33-$S45+1-$B$22),0)*$U45*O$34</f>
        <v>0</v>
      </c>
      <c r="P45" s="22" t="n">
        <f aca="false">IF(AND(P$33-$S45+1-$B$22&gt;=1,P$33-$S45+1-$B$22&lt;=8),INDEX($C$27:$J$27,1,P$33-$S45+1-$B$22),0)*$U45*P$34</f>
        <v>0</v>
      </c>
      <c r="Q45" s="22" t="n">
        <f aca="false">IF(AND(Q$33-$S45+1-$B$22&gt;=1,Q$33-$S45+1-$B$22&lt;=8),INDEX($C$27:$J$27,1,Q$33-$S45+1-$B$22),0)*$U45*Q$34</f>
        <v>0</v>
      </c>
      <c r="S45" s="23" t="n">
        <f aca="false">$B$20+3</f>
        <v>2030</v>
      </c>
      <c r="T45" s="22" t="n">
        <f aca="false">IF($S45&gt;$B$20+Scenarios!$C$8-1,0,$B$19*(1+$B$21*Scenarios!$C$7)^3)</f>
        <v>100000</v>
      </c>
      <c r="U45" s="24" t="n">
        <f aca="false">IFERROR($T45/INDEX($C$34:$Q$34,1,MATCH($S45,$C$33:$Q$33,0)),0)</f>
        <v>555.555555555556</v>
      </c>
      <c r="V45" s="24" t="n">
        <f aca="false">SUMPRODUCT(($C$25:$J$25&lt;=$Q$33-$S45+1-$B$22)*$C$27:$J$27)*$U45</f>
        <v>555.555555555556</v>
      </c>
      <c r="W45" s="24" t="n">
        <f aca="false">$U45-$V45</f>
        <v>0</v>
      </c>
    </row>
    <row r="46" customFormat="false" ht="15" hidden="false" customHeight="false" outlineLevel="0" collapsed="false">
      <c r="A46" s="2" t="s">
        <v>118</v>
      </c>
      <c r="C46" s="22" t="n">
        <f aca="false">IF(AND(C$33-$S46+1-$B$22&gt;=1,C$33-$S46+1-$B$22&lt;=8),INDEX($C$27:$J$27,1,C$33-$S46+1-$B$22),0)*$U46*C$34</f>
        <v>0</v>
      </c>
      <c r="D46" s="22" t="n">
        <f aca="false">IF(AND(D$33-$S46+1-$B$22&gt;=1,D$33-$S46+1-$B$22&lt;=8),INDEX($C$27:$J$27,1,D$33-$S46+1-$B$22),0)*$U46*D$34</f>
        <v>0</v>
      </c>
      <c r="E46" s="22" t="n">
        <f aca="false">IF(AND(E$33-$S46+1-$B$22&gt;=1,E$33-$S46+1-$B$22&lt;=8),INDEX($C$27:$J$27,1,E$33-$S46+1-$B$22),0)*$U46*E$34</f>
        <v>0</v>
      </c>
      <c r="F46" s="22" t="n">
        <f aca="false">IF(AND(F$33-$S46+1-$B$22&gt;=1,F$33-$S46+1-$B$22&lt;=8),INDEX($C$27:$J$27,1,F$33-$S46+1-$B$22),0)*$U46*F$34</f>
        <v>0</v>
      </c>
      <c r="G46" s="22" t="n">
        <f aca="false">IF(AND(G$33-$S46+1-$B$22&gt;=1,G$33-$S46+1-$B$22&lt;=8),INDEX($C$27:$J$27,1,G$33-$S46+1-$B$22),0)*$U46*G$34</f>
        <v>0</v>
      </c>
      <c r="H46" s="22" t="n">
        <f aca="false">IF(AND(H$33-$S46+1-$B$22&gt;=1,H$33-$S46+1-$B$22&lt;=8),INDEX($C$27:$J$27,1,H$33-$S46+1-$B$22),0)*$U46*H$34</f>
        <v>0</v>
      </c>
      <c r="I46" s="22" t="n">
        <f aca="false">IF(AND(I$33-$S46+1-$B$22&gt;=1,I$33-$S46+1-$B$22&lt;=8),INDEX($C$27:$J$27,1,I$33-$S46+1-$B$22),0)*$U46*I$34</f>
        <v>0</v>
      </c>
      <c r="J46" s="22" t="n">
        <f aca="false">IF(AND(J$33-$S46+1-$B$22&gt;=1,J$33-$S46+1-$B$22&lt;=8),INDEX($C$27:$J$27,1,J$33-$S46+1-$B$22),0)*$U46*J$34</f>
        <v>0</v>
      </c>
      <c r="K46" s="22" t="n">
        <f aca="false">IF(AND(K$33-$S46+1-$B$22&gt;=1,K$33-$S46+1-$B$22&lt;=8),INDEX($C$27:$J$27,1,K$33-$S46+1-$B$22),0)*$U46*K$34</f>
        <v>0</v>
      </c>
      <c r="L46" s="22" t="n">
        <f aca="false">IF(AND(L$33-$S46+1-$B$22&gt;=1,L$33-$S46+1-$B$22&lt;=8),INDEX($C$27:$J$27,1,L$33-$S46+1-$B$22),0)*$U46*L$34</f>
        <v>0</v>
      </c>
      <c r="M46" s="22" t="n">
        <f aca="false">IF(AND(M$33-$S46+1-$B$22&gt;=1,M$33-$S46+1-$B$22&lt;=8),INDEX($C$27:$J$27,1,M$33-$S46+1-$B$22),0)*$U46*M$34</f>
        <v>0</v>
      </c>
      <c r="N46" s="22" t="n">
        <f aca="false">IF(AND(N$33-$S46+1-$B$22&gt;=1,N$33-$S46+1-$B$22&lt;=8),INDEX($C$27:$J$27,1,N$33-$S46+1-$B$22),0)*$U46*N$34</f>
        <v>0</v>
      </c>
      <c r="O46" s="22" t="n">
        <f aca="false">IF(AND(O$33-$S46+1-$B$22&gt;=1,O$33-$S46+1-$B$22&lt;=8),INDEX($C$27:$J$27,1,O$33-$S46+1-$B$22),0)*$U46*O$34</f>
        <v>0</v>
      </c>
      <c r="P46" s="22" t="n">
        <f aca="false">IF(AND(P$33-$S46+1-$B$22&gt;=1,P$33-$S46+1-$B$22&lt;=8),INDEX($C$27:$J$27,1,P$33-$S46+1-$B$22),0)*$U46*P$34</f>
        <v>0</v>
      </c>
      <c r="Q46" s="22" t="n">
        <f aca="false">IF(AND(Q$33-$S46+1-$B$22&gt;=1,Q$33-$S46+1-$B$22&lt;=8),INDEX($C$27:$J$27,1,Q$33-$S46+1-$B$22),0)*$U46*Q$34</f>
        <v>0</v>
      </c>
      <c r="S46" s="23" t="n">
        <f aca="false">$B$20+4</f>
        <v>2031</v>
      </c>
      <c r="T46" s="22" t="n">
        <f aca="false">IF($S46&gt;$B$20+Scenarios!$C$8-1,0,$B$19*(1+$B$21*Scenarios!$C$7)^4)</f>
        <v>0</v>
      </c>
      <c r="U46" s="24" t="n">
        <f aca="false">IFERROR($T46/INDEX($C$34:$Q$34,1,MATCH($S46,$C$33:$Q$33,0)),0)</f>
        <v>0</v>
      </c>
      <c r="V46" s="24" t="n">
        <f aca="false">SUMPRODUCT(($C$25:$J$25&lt;=$Q$33-$S46+1-$B$22)*$C$27:$J$27)*$U46</f>
        <v>0</v>
      </c>
      <c r="W46" s="24" t="n">
        <f aca="false">$U46-$V46</f>
        <v>0</v>
      </c>
    </row>
    <row r="47" customFormat="false" ht="15" hidden="false" customHeight="false" outlineLevel="0" collapsed="false">
      <c r="A47" s="2" t="s">
        <v>119</v>
      </c>
      <c r="C47" s="22" t="n">
        <f aca="false">IF(AND(C$33-$S47+1-$B$22&gt;=1,C$33-$S47+1-$B$22&lt;=8),INDEX($C$27:$J$27,1,C$33-$S47+1-$B$22),0)*$U47*C$34</f>
        <v>0</v>
      </c>
      <c r="D47" s="22" t="n">
        <f aca="false">IF(AND(D$33-$S47+1-$B$22&gt;=1,D$33-$S47+1-$B$22&lt;=8),INDEX($C$27:$J$27,1,D$33-$S47+1-$B$22),0)*$U47*D$34</f>
        <v>0</v>
      </c>
      <c r="E47" s="22" t="n">
        <f aca="false">IF(AND(E$33-$S47+1-$B$22&gt;=1,E$33-$S47+1-$B$22&lt;=8),INDEX($C$27:$J$27,1,E$33-$S47+1-$B$22),0)*$U47*E$34</f>
        <v>0</v>
      </c>
      <c r="F47" s="22" t="n">
        <f aca="false">IF(AND(F$33-$S47+1-$B$22&gt;=1,F$33-$S47+1-$B$22&lt;=8),INDEX($C$27:$J$27,1,F$33-$S47+1-$B$22),0)*$U47*F$34</f>
        <v>0</v>
      </c>
      <c r="G47" s="22" t="n">
        <f aca="false">IF(AND(G$33-$S47+1-$B$22&gt;=1,G$33-$S47+1-$B$22&lt;=8),INDEX($C$27:$J$27,1,G$33-$S47+1-$B$22),0)*$U47*G$34</f>
        <v>0</v>
      </c>
      <c r="H47" s="22" t="n">
        <f aca="false">IF(AND(H$33-$S47+1-$B$22&gt;=1,H$33-$S47+1-$B$22&lt;=8),INDEX($C$27:$J$27,1,H$33-$S47+1-$B$22),0)*$U47*H$34</f>
        <v>0</v>
      </c>
      <c r="I47" s="22" t="n">
        <f aca="false">IF(AND(I$33-$S47+1-$B$22&gt;=1,I$33-$S47+1-$B$22&lt;=8),INDEX($C$27:$J$27,1,I$33-$S47+1-$B$22),0)*$U47*I$34</f>
        <v>0</v>
      </c>
      <c r="J47" s="22" t="n">
        <f aca="false">IF(AND(J$33-$S47+1-$B$22&gt;=1,J$33-$S47+1-$B$22&lt;=8),INDEX($C$27:$J$27,1,J$33-$S47+1-$B$22),0)*$U47*J$34</f>
        <v>0</v>
      </c>
      <c r="K47" s="22" t="n">
        <f aca="false">IF(AND(K$33-$S47+1-$B$22&gt;=1,K$33-$S47+1-$B$22&lt;=8),INDEX($C$27:$J$27,1,K$33-$S47+1-$B$22),0)*$U47*K$34</f>
        <v>0</v>
      </c>
      <c r="L47" s="22" t="n">
        <f aca="false">IF(AND(L$33-$S47+1-$B$22&gt;=1,L$33-$S47+1-$B$22&lt;=8),INDEX($C$27:$J$27,1,L$33-$S47+1-$B$22),0)*$U47*L$34</f>
        <v>0</v>
      </c>
      <c r="M47" s="22" t="n">
        <f aca="false">IF(AND(M$33-$S47+1-$B$22&gt;=1,M$33-$S47+1-$B$22&lt;=8),INDEX($C$27:$J$27,1,M$33-$S47+1-$B$22),0)*$U47*M$34</f>
        <v>0</v>
      </c>
      <c r="N47" s="22" t="n">
        <f aca="false">IF(AND(N$33-$S47+1-$B$22&gt;=1,N$33-$S47+1-$B$22&lt;=8),INDEX($C$27:$J$27,1,N$33-$S47+1-$B$22),0)*$U47*N$34</f>
        <v>0</v>
      </c>
      <c r="O47" s="22" t="n">
        <f aca="false">IF(AND(O$33-$S47+1-$B$22&gt;=1,O$33-$S47+1-$B$22&lt;=8),INDEX($C$27:$J$27,1,O$33-$S47+1-$B$22),0)*$U47*O$34</f>
        <v>0</v>
      </c>
      <c r="P47" s="22" t="n">
        <f aca="false">IF(AND(P$33-$S47+1-$B$22&gt;=1,P$33-$S47+1-$B$22&lt;=8),INDEX($C$27:$J$27,1,P$33-$S47+1-$B$22),0)*$U47*P$34</f>
        <v>0</v>
      </c>
      <c r="Q47" s="22" t="n">
        <f aca="false">IF(AND(Q$33-$S47+1-$B$22&gt;=1,Q$33-$S47+1-$B$22&lt;=8),INDEX($C$27:$J$27,1,Q$33-$S47+1-$B$22),0)*$U47*Q$34</f>
        <v>0</v>
      </c>
      <c r="S47" s="23" t="n">
        <f aca="false">$B$20+5</f>
        <v>2032</v>
      </c>
      <c r="T47" s="22" t="n">
        <f aca="false">IF($S47&gt;$B$20+Scenarios!$C$8-1,0,$B$19*(1+$B$21*Scenarios!$C$7)^5)</f>
        <v>0</v>
      </c>
      <c r="U47" s="24" t="n">
        <f aca="false">IFERROR($T47/INDEX($C$34:$Q$34,1,MATCH($S47,$C$33:$Q$33,0)),0)</f>
        <v>0</v>
      </c>
      <c r="V47" s="24" t="n">
        <f aca="false">SUMPRODUCT(($C$25:$J$25&lt;=$Q$33-$S47+1-$B$22)*$C$27:$J$27)*$U47</f>
        <v>0</v>
      </c>
      <c r="W47" s="24" t="n">
        <f aca="false">$U47-$V47</f>
        <v>0</v>
      </c>
    </row>
    <row r="48" customFormat="false" ht="15" hidden="false" customHeight="false" outlineLevel="0" collapsed="false">
      <c r="A48" s="2" t="s">
        <v>120</v>
      </c>
      <c r="C48" s="22" t="n">
        <f aca="false">IF(AND(C$33-$S48+1-$B$22&gt;=1,C$33-$S48+1-$B$22&lt;=8),INDEX($C$27:$J$27,1,C$33-$S48+1-$B$22),0)*$U48*C$34</f>
        <v>0</v>
      </c>
      <c r="D48" s="22" t="n">
        <f aca="false">IF(AND(D$33-$S48+1-$B$22&gt;=1,D$33-$S48+1-$B$22&lt;=8),INDEX($C$27:$J$27,1,D$33-$S48+1-$B$22),0)*$U48*D$34</f>
        <v>0</v>
      </c>
      <c r="E48" s="22" t="n">
        <f aca="false">IF(AND(E$33-$S48+1-$B$22&gt;=1,E$33-$S48+1-$B$22&lt;=8),INDEX($C$27:$J$27,1,E$33-$S48+1-$B$22),0)*$U48*E$34</f>
        <v>0</v>
      </c>
      <c r="F48" s="22" t="n">
        <f aca="false">IF(AND(F$33-$S48+1-$B$22&gt;=1,F$33-$S48+1-$B$22&lt;=8),INDEX($C$27:$J$27,1,F$33-$S48+1-$B$22),0)*$U48*F$34</f>
        <v>0</v>
      </c>
      <c r="G48" s="22" t="n">
        <f aca="false">IF(AND(G$33-$S48+1-$B$22&gt;=1,G$33-$S48+1-$B$22&lt;=8),INDEX($C$27:$J$27,1,G$33-$S48+1-$B$22),0)*$U48*G$34</f>
        <v>0</v>
      </c>
      <c r="H48" s="22" t="n">
        <f aca="false">IF(AND(H$33-$S48+1-$B$22&gt;=1,H$33-$S48+1-$B$22&lt;=8),INDEX($C$27:$J$27,1,H$33-$S48+1-$B$22),0)*$U48*H$34</f>
        <v>0</v>
      </c>
      <c r="I48" s="22" t="n">
        <f aca="false">IF(AND(I$33-$S48+1-$B$22&gt;=1,I$33-$S48+1-$B$22&lt;=8),INDEX($C$27:$J$27,1,I$33-$S48+1-$B$22),0)*$U48*I$34</f>
        <v>0</v>
      </c>
      <c r="J48" s="22" t="n">
        <f aca="false">IF(AND(J$33-$S48+1-$B$22&gt;=1,J$33-$S48+1-$B$22&lt;=8),INDEX($C$27:$J$27,1,J$33-$S48+1-$B$22),0)*$U48*J$34</f>
        <v>0</v>
      </c>
      <c r="K48" s="22" t="n">
        <f aca="false">IF(AND(K$33-$S48+1-$B$22&gt;=1,K$33-$S48+1-$B$22&lt;=8),INDEX($C$27:$J$27,1,K$33-$S48+1-$B$22),0)*$U48*K$34</f>
        <v>0</v>
      </c>
      <c r="L48" s="22" t="n">
        <f aca="false">IF(AND(L$33-$S48+1-$B$22&gt;=1,L$33-$S48+1-$B$22&lt;=8),INDEX($C$27:$J$27,1,L$33-$S48+1-$B$22),0)*$U48*L$34</f>
        <v>0</v>
      </c>
      <c r="M48" s="22" t="n">
        <f aca="false">IF(AND(M$33-$S48+1-$B$22&gt;=1,M$33-$S48+1-$B$22&lt;=8),INDEX($C$27:$J$27,1,M$33-$S48+1-$B$22),0)*$U48*M$34</f>
        <v>0</v>
      </c>
      <c r="N48" s="22" t="n">
        <f aca="false">IF(AND(N$33-$S48+1-$B$22&gt;=1,N$33-$S48+1-$B$22&lt;=8),INDEX($C$27:$J$27,1,N$33-$S48+1-$B$22),0)*$U48*N$34</f>
        <v>0</v>
      </c>
      <c r="O48" s="22" t="n">
        <f aca="false">IF(AND(O$33-$S48+1-$B$22&gt;=1,O$33-$S48+1-$B$22&lt;=8),INDEX($C$27:$J$27,1,O$33-$S48+1-$B$22),0)*$U48*O$34</f>
        <v>0</v>
      </c>
      <c r="P48" s="22" t="n">
        <f aca="false">IF(AND(P$33-$S48+1-$B$22&gt;=1,P$33-$S48+1-$B$22&lt;=8),INDEX($C$27:$J$27,1,P$33-$S48+1-$B$22),0)*$U48*P$34</f>
        <v>0</v>
      </c>
      <c r="Q48" s="22" t="n">
        <f aca="false">IF(AND(Q$33-$S48+1-$B$22&gt;=1,Q$33-$S48+1-$B$22&lt;=8),INDEX($C$27:$J$27,1,Q$33-$S48+1-$B$22),0)*$U48*Q$34</f>
        <v>0</v>
      </c>
      <c r="S48" s="23" t="n">
        <f aca="false">$B$20+6</f>
        <v>2033</v>
      </c>
      <c r="T48" s="22" t="n">
        <f aca="false">IF($S48&gt;$B$20+Scenarios!$C$8-1,0,$B$19*(1+$B$21*Scenarios!$C$7)^6)</f>
        <v>0</v>
      </c>
      <c r="U48" s="24" t="n">
        <f aca="false">IFERROR($T48/INDEX($C$34:$Q$34,1,MATCH($S48,$C$33:$Q$33,0)),0)</f>
        <v>0</v>
      </c>
      <c r="V48" s="24" t="n">
        <f aca="false">SUMPRODUCT(($C$25:$J$25&lt;=$Q$33-$S48+1-$B$22)*$C$27:$J$27)*$U48</f>
        <v>0</v>
      </c>
      <c r="W48" s="24" t="n">
        <f aca="false">$U48-$V48</f>
        <v>0</v>
      </c>
    </row>
    <row r="49" customFormat="false" ht="15" hidden="false" customHeight="false" outlineLevel="0" collapsed="false">
      <c r="A49" s="2" t="s">
        <v>121</v>
      </c>
      <c r="C49" s="22" t="n">
        <f aca="false">IF(AND(C$33-$S49+1-$B$22&gt;=1,C$33-$S49+1-$B$22&lt;=8),INDEX($C$27:$J$27,1,C$33-$S49+1-$B$22),0)*$U49*C$34</f>
        <v>0</v>
      </c>
      <c r="D49" s="22" t="n">
        <f aca="false">IF(AND(D$33-$S49+1-$B$22&gt;=1,D$33-$S49+1-$B$22&lt;=8),INDEX($C$27:$J$27,1,D$33-$S49+1-$B$22),0)*$U49*D$34</f>
        <v>0</v>
      </c>
      <c r="E49" s="22" t="n">
        <f aca="false">IF(AND(E$33-$S49+1-$B$22&gt;=1,E$33-$S49+1-$B$22&lt;=8),INDEX($C$27:$J$27,1,E$33-$S49+1-$B$22),0)*$U49*E$34</f>
        <v>0</v>
      </c>
      <c r="F49" s="22" t="n">
        <f aca="false">IF(AND(F$33-$S49+1-$B$22&gt;=1,F$33-$S49+1-$B$22&lt;=8),INDEX($C$27:$J$27,1,F$33-$S49+1-$B$22),0)*$U49*F$34</f>
        <v>0</v>
      </c>
      <c r="G49" s="22" t="n">
        <f aca="false">IF(AND(G$33-$S49+1-$B$22&gt;=1,G$33-$S49+1-$B$22&lt;=8),INDEX($C$27:$J$27,1,G$33-$S49+1-$B$22),0)*$U49*G$34</f>
        <v>0</v>
      </c>
      <c r="H49" s="22" t="n">
        <f aca="false">IF(AND(H$33-$S49+1-$B$22&gt;=1,H$33-$S49+1-$B$22&lt;=8),INDEX($C$27:$J$27,1,H$33-$S49+1-$B$22),0)*$U49*H$34</f>
        <v>0</v>
      </c>
      <c r="I49" s="22" t="n">
        <f aca="false">IF(AND(I$33-$S49+1-$B$22&gt;=1,I$33-$S49+1-$B$22&lt;=8),INDEX($C$27:$J$27,1,I$33-$S49+1-$B$22),0)*$U49*I$34</f>
        <v>0</v>
      </c>
      <c r="J49" s="22" t="n">
        <f aca="false">IF(AND(J$33-$S49+1-$B$22&gt;=1,J$33-$S49+1-$B$22&lt;=8),INDEX($C$27:$J$27,1,J$33-$S49+1-$B$22),0)*$U49*J$34</f>
        <v>0</v>
      </c>
      <c r="K49" s="22" t="n">
        <f aca="false">IF(AND(K$33-$S49+1-$B$22&gt;=1,K$33-$S49+1-$B$22&lt;=8),INDEX($C$27:$J$27,1,K$33-$S49+1-$B$22),0)*$U49*K$34</f>
        <v>0</v>
      </c>
      <c r="L49" s="22" t="n">
        <f aca="false">IF(AND(L$33-$S49+1-$B$22&gt;=1,L$33-$S49+1-$B$22&lt;=8),INDEX($C$27:$J$27,1,L$33-$S49+1-$B$22),0)*$U49*L$34</f>
        <v>0</v>
      </c>
      <c r="M49" s="22" t="n">
        <f aca="false">IF(AND(M$33-$S49+1-$B$22&gt;=1,M$33-$S49+1-$B$22&lt;=8),INDEX($C$27:$J$27,1,M$33-$S49+1-$B$22),0)*$U49*M$34</f>
        <v>0</v>
      </c>
      <c r="N49" s="22" t="n">
        <f aca="false">IF(AND(N$33-$S49+1-$B$22&gt;=1,N$33-$S49+1-$B$22&lt;=8),INDEX($C$27:$J$27,1,N$33-$S49+1-$B$22),0)*$U49*N$34</f>
        <v>0</v>
      </c>
      <c r="O49" s="22" t="n">
        <f aca="false">IF(AND(O$33-$S49+1-$B$22&gt;=1,O$33-$S49+1-$B$22&lt;=8),INDEX($C$27:$J$27,1,O$33-$S49+1-$B$22),0)*$U49*O$34</f>
        <v>0</v>
      </c>
      <c r="P49" s="22" t="n">
        <f aca="false">IF(AND(P$33-$S49+1-$B$22&gt;=1,P$33-$S49+1-$B$22&lt;=8),INDEX($C$27:$J$27,1,P$33-$S49+1-$B$22),0)*$U49*P$34</f>
        <v>0</v>
      </c>
      <c r="Q49" s="22" t="n">
        <f aca="false">IF(AND(Q$33-$S49+1-$B$22&gt;=1,Q$33-$S49+1-$B$22&lt;=8),INDEX($C$27:$J$27,1,Q$33-$S49+1-$B$22),0)*$U49*Q$34</f>
        <v>0</v>
      </c>
      <c r="S49" s="23" t="n">
        <f aca="false">$B$20+7</f>
        <v>2034</v>
      </c>
      <c r="T49" s="22" t="n">
        <f aca="false">IF($S49&gt;$B$20+Scenarios!$C$8-1,0,$B$19*(1+$B$21*Scenarios!$C$7)^7)</f>
        <v>0</v>
      </c>
      <c r="U49" s="24" t="n">
        <f aca="false">IFERROR($T49/INDEX($C$34:$Q$34,1,MATCH($S49,$C$33:$Q$33,0)),0)</f>
        <v>0</v>
      </c>
      <c r="V49" s="24" t="n">
        <f aca="false">SUMPRODUCT(($C$25:$J$25&lt;=$Q$33-$S49+1-$B$22)*$C$27:$J$27)*$U49</f>
        <v>0</v>
      </c>
      <c r="W49" s="24" t="n">
        <f aca="false">$U49-$V49</f>
        <v>0</v>
      </c>
    </row>
    <row r="50" customFormat="false" ht="15" hidden="false" customHeight="false" outlineLevel="0" collapsed="false">
      <c r="A50" s="2" t="s">
        <v>122</v>
      </c>
      <c r="C50" s="22" t="n">
        <f aca="false">IF(AND(C$33-$S50+1-$B$22&gt;=1,C$33-$S50+1-$B$22&lt;=8),INDEX($C$27:$J$27,1,C$33-$S50+1-$B$22),0)*$U50*C$34</f>
        <v>0</v>
      </c>
      <c r="D50" s="22" t="n">
        <f aca="false">IF(AND(D$33-$S50+1-$B$22&gt;=1,D$33-$S50+1-$B$22&lt;=8),INDEX($C$27:$J$27,1,D$33-$S50+1-$B$22),0)*$U50*D$34</f>
        <v>0</v>
      </c>
      <c r="E50" s="22" t="n">
        <f aca="false">IF(AND(E$33-$S50+1-$B$22&gt;=1,E$33-$S50+1-$B$22&lt;=8),INDEX($C$27:$J$27,1,E$33-$S50+1-$B$22),0)*$U50*E$34</f>
        <v>0</v>
      </c>
      <c r="F50" s="22" t="n">
        <f aca="false">IF(AND(F$33-$S50+1-$B$22&gt;=1,F$33-$S50+1-$B$22&lt;=8),INDEX($C$27:$J$27,1,F$33-$S50+1-$B$22),0)*$U50*F$34</f>
        <v>0</v>
      </c>
      <c r="G50" s="22" t="n">
        <f aca="false">IF(AND(G$33-$S50+1-$B$22&gt;=1,G$33-$S50+1-$B$22&lt;=8),INDEX($C$27:$J$27,1,G$33-$S50+1-$B$22),0)*$U50*G$34</f>
        <v>0</v>
      </c>
      <c r="H50" s="22" t="n">
        <f aca="false">IF(AND(H$33-$S50+1-$B$22&gt;=1,H$33-$S50+1-$B$22&lt;=8),INDEX($C$27:$J$27,1,H$33-$S50+1-$B$22),0)*$U50*H$34</f>
        <v>0</v>
      </c>
      <c r="I50" s="22" t="n">
        <f aca="false">IF(AND(I$33-$S50+1-$B$22&gt;=1,I$33-$S50+1-$B$22&lt;=8),INDEX($C$27:$J$27,1,I$33-$S50+1-$B$22),0)*$U50*I$34</f>
        <v>0</v>
      </c>
      <c r="J50" s="22" t="n">
        <f aca="false">IF(AND(J$33-$S50+1-$B$22&gt;=1,J$33-$S50+1-$B$22&lt;=8),INDEX($C$27:$J$27,1,J$33-$S50+1-$B$22),0)*$U50*J$34</f>
        <v>0</v>
      </c>
      <c r="K50" s="22" t="n">
        <f aca="false">IF(AND(K$33-$S50+1-$B$22&gt;=1,K$33-$S50+1-$B$22&lt;=8),INDEX($C$27:$J$27,1,K$33-$S50+1-$B$22),0)*$U50*K$34</f>
        <v>0</v>
      </c>
      <c r="L50" s="22" t="n">
        <f aca="false">IF(AND(L$33-$S50+1-$B$22&gt;=1,L$33-$S50+1-$B$22&lt;=8),INDEX($C$27:$J$27,1,L$33-$S50+1-$B$22),0)*$U50*L$34</f>
        <v>0</v>
      </c>
      <c r="M50" s="22" t="n">
        <f aca="false">IF(AND(M$33-$S50+1-$B$22&gt;=1,M$33-$S50+1-$B$22&lt;=8),INDEX($C$27:$J$27,1,M$33-$S50+1-$B$22),0)*$U50*M$34</f>
        <v>0</v>
      </c>
      <c r="N50" s="22" t="n">
        <f aca="false">IF(AND(N$33-$S50+1-$B$22&gt;=1,N$33-$S50+1-$B$22&lt;=8),INDEX($C$27:$J$27,1,N$33-$S50+1-$B$22),0)*$U50*N$34</f>
        <v>0</v>
      </c>
      <c r="O50" s="22" t="n">
        <f aca="false">IF(AND(O$33-$S50+1-$B$22&gt;=1,O$33-$S50+1-$B$22&lt;=8),INDEX($C$27:$J$27,1,O$33-$S50+1-$B$22),0)*$U50*O$34</f>
        <v>0</v>
      </c>
      <c r="P50" s="22" t="n">
        <f aca="false">IF(AND(P$33-$S50+1-$B$22&gt;=1,P$33-$S50+1-$B$22&lt;=8),INDEX($C$27:$J$27,1,P$33-$S50+1-$B$22),0)*$U50*P$34</f>
        <v>0</v>
      </c>
      <c r="Q50" s="22" t="n">
        <f aca="false">IF(AND(Q$33-$S50+1-$B$22&gt;=1,Q$33-$S50+1-$B$22&lt;=8),INDEX($C$27:$J$27,1,Q$33-$S50+1-$B$22),0)*$U50*Q$34</f>
        <v>0</v>
      </c>
      <c r="S50" s="23" t="n">
        <f aca="false">$B$20+8</f>
        <v>2035</v>
      </c>
      <c r="T50" s="22" t="n">
        <f aca="false">IF($S50&gt;$B$20+Scenarios!$C$8-1,0,$B$19*(1+$B$21*Scenarios!$C$7)^8)</f>
        <v>0</v>
      </c>
      <c r="U50" s="24" t="n">
        <f aca="false">IFERROR($T50/INDEX($C$34:$Q$34,1,MATCH($S50,$C$33:$Q$33,0)),0)</f>
        <v>0</v>
      </c>
      <c r="V50" s="24" t="n">
        <f aca="false">SUMPRODUCT(($C$25:$J$25&lt;=$Q$33-$S50+1-$B$22)*$C$27:$J$27)*$U50</f>
        <v>0</v>
      </c>
      <c r="W50" s="24" t="n">
        <f aca="false">$U50-$V50</f>
        <v>0</v>
      </c>
    </row>
    <row r="51" customFormat="false" ht="15" hidden="false" customHeight="false" outlineLevel="0" collapsed="false">
      <c r="A51" s="2" t="s">
        <v>123</v>
      </c>
      <c r="C51" s="22" t="n">
        <f aca="false">IF(AND(C$33-$S51+1-$B$22&gt;=1,C$33-$S51+1-$B$22&lt;=8),INDEX($C$27:$J$27,1,C$33-$S51+1-$B$22),0)*$U51*C$34</f>
        <v>0</v>
      </c>
      <c r="D51" s="22" t="n">
        <f aca="false">IF(AND(D$33-$S51+1-$B$22&gt;=1,D$33-$S51+1-$B$22&lt;=8),INDEX($C$27:$J$27,1,D$33-$S51+1-$B$22),0)*$U51*D$34</f>
        <v>0</v>
      </c>
      <c r="E51" s="22" t="n">
        <f aca="false">IF(AND(E$33-$S51+1-$B$22&gt;=1,E$33-$S51+1-$B$22&lt;=8),INDEX($C$27:$J$27,1,E$33-$S51+1-$B$22),0)*$U51*E$34</f>
        <v>0</v>
      </c>
      <c r="F51" s="22" t="n">
        <f aca="false">IF(AND(F$33-$S51+1-$B$22&gt;=1,F$33-$S51+1-$B$22&lt;=8),INDEX($C$27:$J$27,1,F$33-$S51+1-$B$22),0)*$U51*F$34</f>
        <v>0</v>
      </c>
      <c r="G51" s="22" t="n">
        <f aca="false">IF(AND(G$33-$S51+1-$B$22&gt;=1,G$33-$S51+1-$B$22&lt;=8),INDEX($C$27:$J$27,1,G$33-$S51+1-$B$22),0)*$U51*G$34</f>
        <v>0</v>
      </c>
      <c r="H51" s="22" t="n">
        <f aca="false">IF(AND(H$33-$S51+1-$B$22&gt;=1,H$33-$S51+1-$B$22&lt;=8),INDEX($C$27:$J$27,1,H$33-$S51+1-$B$22),0)*$U51*H$34</f>
        <v>0</v>
      </c>
      <c r="I51" s="22" t="n">
        <f aca="false">IF(AND(I$33-$S51+1-$B$22&gt;=1,I$33-$S51+1-$B$22&lt;=8),INDEX($C$27:$J$27,1,I$33-$S51+1-$B$22),0)*$U51*I$34</f>
        <v>0</v>
      </c>
      <c r="J51" s="22" t="n">
        <f aca="false">IF(AND(J$33-$S51+1-$B$22&gt;=1,J$33-$S51+1-$B$22&lt;=8),INDEX($C$27:$J$27,1,J$33-$S51+1-$B$22),0)*$U51*J$34</f>
        <v>0</v>
      </c>
      <c r="K51" s="22" t="n">
        <f aca="false">IF(AND(K$33-$S51+1-$B$22&gt;=1,K$33-$S51+1-$B$22&lt;=8),INDEX($C$27:$J$27,1,K$33-$S51+1-$B$22),0)*$U51*K$34</f>
        <v>0</v>
      </c>
      <c r="L51" s="22" t="n">
        <f aca="false">IF(AND(L$33-$S51+1-$B$22&gt;=1,L$33-$S51+1-$B$22&lt;=8),INDEX($C$27:$J$27,1,L$33-$S51+1-$B$22),0)*$U51*L$34</f>
        <v>0</v>
      </c>
      <c r="M51" s="22" t="n">
        <f aca="false">IF(AND(M$33-$S51+1-$B$22&gt;=1,M$33-$S51+1-$B$22&lt;=8),INDEX($C$27:$J$27,1,M$33-$S51+1-$B$22),0)*$U51*M$34</f>
        <v>0</v>
      </c>
      <c r="N51" s="22" t="n">
        <f aca="false">IF(AND(N$33-$S51+1-$B$22&gt;=1,N$33-$S51+1-$B$22&lt;=8),INDEX($C$27:$J$27,1,N$33-$S51+1-$B$22),0)*$U51*N$34</f>
        <v>0</v>
      </c>
      <c r="O51" s="22" t="n">
        <f aca="false">IF(AND(O$33-$S51+1-$B$22&gt;=1,O$33-$S51+1-$B$22&lt;=8),INDEX($C$27:$J$27,1,O$33-$S51+1-$B$22),0)*$U51*O$34</f>
        <v>0</v>
      </c>
      <c r="P51" s="22" t="n">
        <f aca="false">IF(AND(P$33-$S51+1-$B$22&gt;=1,P$33-$S51+1-$B$22&lt;=8),INDEX($C$27:$J$27,1,P$33-$S51+1-$B$22),0)*$U51*P$34</f>
        <v>0</v>
      </c>
      <c r="Q51" s="22" t="n">
        <f aca="false">IF(AND(Q$33-$S51+1-$B$22&gt;=1,Q$33-$S51+1-$B$22&lt;=8),INDEX($C$27:$J$27,1,Q$33-$S51+1-$B$22),0)*$U51*Q$34</f>
        <v>0</v>
      </c>
      <c r="S51" s="23" t="n">
        <f aca="false">$B$20+9</f>
        <v>2036</v>
      </c>
      <c r="T51" s="22" t="n">
        <f aca="false">IF($S51&gt;$B$20+Scenarios!$C$8-1,0,$B$19*(1+$B$21*Scenarios!$C$7)^9)</f>
        <v>0</v>
      </c>
      <c r="U51" s="24" t="n">
        <f aca="false">IFERROR($T51/INDEX($C$34:$Q$34,1,MATCH($S51,$C$33:$Q$33,0)),0)</f>
        <v>0</v>
      </c>
      <c r="V51" s="24" t="n">
        <f aca="false">SUMPRODUCT(($C$25:$J$25&lt;=$Q$33-$S51+1-$B$22)*$C$27:$J$27)*$U51</f>
        <v>0</v>
      </c>
      <c r="W51" s="24" t="n">
        <f aca="false">$U51-$V51</f>
        <v>0</v>
      </c>
    </row>
    <row r="52" customFormat="false" ht="15" hidden="false" customHeight="false" outlineLevel="0" collapsed="false">
      <c r="A52" s="2" t="s">
        <v>124</v>
      </c>
      <c r="C52" s="22" t="n">
        <f aca="false">IF(AND(C$33-$S52+1-$B$22&gt;=1,C$33-$S52+1-$B$22&lt;=8),INDEX($C$27:$J$27,1,C$33-$S52+1-$B$22),0)*$U52*C$34</f>
        <v>0</v>
      </c>
      <c r="D52" s="22" t="n">
        <f aca="false">IF(AND(D$33-$S52+1-$B$22&gt;=1,D$33-$S52+1-$B$22&lt;=8),INDEX($C$27:$J$27,1,D$33-$S52+1-$B$22),0)*$U52*D$34</f>
        <v>0</v>
      </c>
      <c r="E52" s="22" t="n">
        <f aca="false">IF(AND(E$33-$S52+1-$B$22&gt;=1,E$33-$S52+1-$B$22&lt;=8),INDEX($C$27:$J$27,1,E$33-$S52+1-$B$22),0)*$U52*E$34</f>
        <v>0</v>
      </c>
      <c r="F52" s="22" t="n">
        <f aca="false">IF(AND(F$33-$S52+1-$B$22&gt;=1,F$33-$S52+1-$B$22&lt;=8),INDEX($C$27:$J$27,1,F$33-$S52+1-$B$22),0)*$U52*F$34</f>
        <v>0</v>
      </c>
      <c r="G52" s="22" t="n">
        <f aca="false">IF(AND(G$33-$S52+1-$B$22&gt;=1,G$33-$S52+1-$B$22&lt;=8),INDEX($C$27:$J$27,1,G$33-$S52+1-$B$22),0)*$U52*G$34</f>
        <v>0</v>
      </c>
      <c r="H52" s="22" t="n">
        <f aca="false">IF(AND(H$33-$S52+1-$B$22&gt;=1,H$33-$S52+1-$B$22&lt;=8),INDEX($C$27:$J$27,1,H$33-$S52+1-$B$22),0)*$U52*H$34</f>
        <v>0</v>
      </c>
      <c r="I52" s="22" t="n">
        <f aca="false">IF(AND(I$33-$S52+1-$B$22&gt;=1,I$33-$S52+1-$B$22&lt;=8),INDEX($C$27:$J$27,1,I$33-$S52+1-$B$22),0)*$U52*I$34</f>
        <v>0</v>
      </c>
      <c r="J52" s="22" t="n">
        <f aca="false">IF(AND(J$33-$S52+1-$B$22&gt;=1,J$33-$S52+1-$B$22&lt;=8),INDEX($C$27:$J$27,1,J$33-$S52+1-$B$22),0)*$U52*J$34</f>
        <v>0</v>
      </c>
      <c r="K52" s="22" t="n">
        <f aca="false">IF(AND(K$33-$S52+1-$B$22&gt;=1,K$33-$S52+1-$B$22&lt;=8),INDEX($C$27:$J$27,1,K$33-$S52+1-$B$22),0)*$U52*K$34</f>
        <v>0</v>
      </c>
      <c r="L52" s="22" t="n">
        <f aca="false">IF(AND(L$33-$S52+1-$B$22&gt;=1,L$33-$S52+1-$B$22&lt;=8),INDEX($C$27:$J$27,1,L$33-$S52+1-$B$22),0)*$U52*L$34</f>
        <v>0</v>
      </c>
      <c r="M52" s="22" t="n">
        <f aca="false">IF(AND(M$33-$S52+1-$B$22&gt;=1,M$33-$S52+1-$B$22&lt;=8),INDEX($C$27:$J$27,1,M$33-$S52+1-$B$22),0)*$U52*M$34</f>
        <v>0</v>
      </c>
      <c r="N52" s="22" t="n">
        <f aca="false">IF(AND(N$33-$S52+1-$B$22&gt;=1,N$33-$S52+1-$B$22&lt;=8),INDEX($C$27:$J$27,1,N$33-$S52+1-$B$22),0)*$U52*N$34</f>
        <v>0</v>
      </c>
      <c r="O52" s="22" t="n">
        <f aca="false">IF(AND(O$33-$S52+1-$B$22&gt;=1,O$33-$S52+1-$B$22&lt;=8),INDEX($C$27:$J$27,1,O$33-$S52+1-$B$22),0)*$U52*O$34</f>
        <v>0</v>
      </c>
      <c r="P52" s="22" t="n">
        <f aca="false">IF(AND(P$33-$S52+1-$B$22&gt;=1,P$33-$S52+1-$B$22&lt;=8),INDEX($C$27:$J$27,1,P$33-$S52+1-$B$22),0)*$U52*P$34</f>
        <v>0</v>
      </c>
      <c r="Q52" s="22" t="n">
        <f aca="false">IF(AND(Q$33-$S52+1-$B$22&gt;=1,Q$33-$S52+1-$B$22&lt;=8),INDEX($C$27:$J$27,1,Q$33-$S52+1-$B$22),0)*$U52*Q$34</f>
        <v>0</v>
      </c>
      <c r="S52" s="23" t="n">
        <f aca="false">$B$20+10</f>
        <v>2037</v>
      </c>
      <c r="T52" s="22" t="n">
        <f aca="false">IF($S52&gt;$B$20+Scenarios!$C$8-1,0,$B$19*(1+$B$21*Scenarios!$C$7)^10)</f>
        <v>0</v>
      </c>
      <c r="U52" s="24" t="n">
        <f aca="false">IFERROR($T52/INDEX($C$34:$Q$34,1,MATCH($S52,$C$33:$Q$33,0)),0)</f>
        <v>0</v>
      </c>
      <c r="V52" s="24" t="n">
        <f aca="false">SUMPRODUCT(($C$25:$J$25&lt;=$Q$33-$S52+1-$B$22)*$C$27:$J$27)*$U52</f>
        <v>0</v>
      </c>
      <c r="W52" s="24" t="n">
        <f aca="false">$U52-$V52</f>
        <v>0</v>
      </c>
    </row>
    <row r="53" customFormat="false" ht="15" hidden="false" customHeight="false" outlineLevel="0" collapsed="false">
      <c r="A53" s="2" t="s">
        <v>125</v>
      </c>
      <c r="C53" s="22" t="n">
        <f aca="false">IF(AND(C$33-$S53+1-$B$22&gt;=1,C$33-$S53+1-$B$22&lt;=8),INDEX($C$27:$J$27,1,C$33-$S53+1-$B$22),0)*$U53*C$34</f>
        <v>0</v>
      </c>
      <c r="D53" s="22" t="n">
        <f aca="false">IF(AND(D$33-$S53+1-$B$22&gt;=1,D$33-$S53+1-$B$22&lt;=8),INDEX($C$27:$J$27,1,D$33-$S53+1-$B$22),0)*$U53*D$34</f>
        <v>0</v>
      </c>
      <c r="E53" s="22" t="n">
        <f aca="false">IF(AND(E$33-$S53+1-$B$22&gt;=1,E$33-$S53+1-$B$22&lt;=8),INDEX($C$27:$J$27,1,E$33-$S53+1-$B$22),0)*$U53*E$34</f>
        <v>0</v>
      </c>
      <c r="F53" s="22" t="n">
        <f aca="false">IF(AND(F$33-$S53+1-$B$22&gt;=1,F$33-$S53+1-$B$22&lt;=8),INDEX($C$27:$J$27,1,F$33-$S53+1-$B$22),0)*$U53*F$34</f>
        <v>0</v>
      </c>
      <c r="G53" s="22" t="n">
        <f aca="false">IF(AND(G$33-$S53+1-$B$22&gt;=1,G$33-$S53+1-$B$22&lt;=8),INDEX($C$27:$J$27,1,G$33-$S53+1-$B$22),0)*$U53*G$34</f>
        <v>0</v>
      </c>
      <c r="H53" s="22" t="n">
        <f aca="false">IF(AND(H$33-$S53+1-$B$22&gt;=1,H$33-$S53+1-$B$22&lt;=8),INDEX($C$27:$J$27,1,H$33-$S53+1-$B$22),0)*$U53*H$34</f>
        <v>0</v>
      </c>
      <c r="I53" s="22" t="n">
        <f aca="false">IF(AND(I$33-$S53+1-$B$22&gt;=1,I$33-$S53+1-$B$22&lt;=8),INDEX($C$27:$J$27,1,I$33-$S53+1-$B$22),0)*$U53*I$34</f>
        <v>0</v>
      </c>
      <c r="J53" s="22" t="n">
        <f aca="false">IF(AND(J$33-$S53+1-$B$22&gt;=1,J$33-$S53+1-$B$22&lt;=8),INDEX($C$27:$J$27,1,J$33-$S53+1-$B$22),0)*$U53*J$34</f>
        <v>0</v>
      </c>
      <c r="K53" s="22" t="n">
        <f aca="false">IF(AND(K$33-$S53+1-$B$22&gt;=1,K$33-$S53+1-$B$22&lt;=8),INDEX($C$27:$J$27,1,K$33-$S53+1-$B$22),0)*$U53*K$34</f>
        <v>0</v>
      </c>
      <c r="L53" s="22" t="n">
        <f aca="false">IF(AND(L$33-$S53+1-$B$22&gt;=1,L$33-$S53+1-$B$22&lt;=8),INDEX($C$27:$J$27,1,L$33-$S53+1-$B$22),0)*$U53*L$34</f>
        <v>0</v>
      </c>
      <c r="M53" s="22" t="n">
        <f aca="false">IF(AND(M$33-$S53+1-$B$22&gt;=1,M$33-$S53+1-$B$22&lt;=8),INDEX($C$27:$J$27,1,M$33-$S53+1-$B$22),0)*$U53*M$34</f>
        <v>0</v>
      </c>
      <c r="N53" s="22" t="n">
        <f aca="false">IF(AND(N$33-$S53+1-$B$22&gt;=1,N$33-$S53+1-$B$22&lt;=8),INDEX($C$27:$J$27,1,N$33-$S53+1-$B$22),0)*$U53*N$34</f>
        <v>0</v>
      </c>
      <c r="O53" s="22" t="n">
        <f aca="false">IF(AND(O$33-$S53+1-$B$22&gt;=1,O$33-$S53+1-$B$22&lt;=8),INDEX($C$27:$J$27,1,O$33-$S53+1-$B$22),0)*$U53*O$34</f>
        <v>0</v>
      </c>
      <c r="P53" s="22" t="n">
        <f aca="false">IF(AND(P$33-$S53+1-$B$22&gt;=1,P$33-$S53+1-$B$22&lt;=8),INDEX($C$27:$J$27,1,P$33-$S53+1-$B$22),0)*$U53*P$34</f>
        <v>0</v>
      </c>
      <c r="Q53" s="22" t="n">
        <f aca="false">IF(AND(Q$33-$S53+1-$B$22&gt;=1,Q$33-$S53+1-$B$22&lt;=8),INDEX($C$27:$J$27,1,Q$33-$S53+1-$B$22),0)*$U53*Q$34</f>
        <v>0</v>
      </c>
      <c r="S53" s="23" t="n">
        <f aca="false">$B$20+11</f>
        <v>2038</v>
      </c>
      <c r="T53" s="22" t="n">
        <f aca="false">IF($S53&gt;$B$20+Scenarios!$C$8-1,0,$B$19*(1+$B$21*Scenarios!$C$7)^11)</f>
        <v>0</v>
      </c>
      <c r="U53" s="24" t="n">
        <f aca="false">IFERROR($T53/INDEX($C$34:$Q$34,1,MATCH($S53,$C$33:$Q$33,0)),0)</f>
        <v>0</v>
      </c>
      <c r="V53" s="24" t="n">
        <f aca="false">SUMPRODUCT(($C$25:$J$25&lt;=$Q$33-$S53+1-$B$22)*$C$27:$J$27)*$U53</f>
        <v>0</v>
      </c>
      <c r="W53" s="24" t="n">
        <f aca="false">$U53-$V53</f>
        <v>0</v>
      </c>
    </row>
    <row r="55" customFormat="false" ht="15" hidden="false" customHeight="false" outlineLevel="0" collapsed="false">
      <c r="A55" s="2" t="s">
        <v>126</v>
      </c>
      <c r="C55" s="22" t="n">
        <f aca="false">C41</f>
        <v>0</v>
      </c>
      <c r="D55" s="22" t="n">
        <f aca="false">D41</f>
        <v>100000</v>
      </c>
      <c r="E55" s="22" t="n">
        <f aca="false">E41</f>
        <v>100000</v>
      </c>
      <c r="F55" s="22" t="n">
        <f aca="false">F41</f>
        <v>100000</v>
      </c>
      <c r="G55" s="22" t="n">
        <f aca="false">G41</f>
        <v>100000</v>
      </c>
      <c r="H55" s="22" t="n">
        <f aca="false">H41</f>
        <v>100000</v>
      </c>
      <c r="I55" s="22" t="n">
        <f aca="false">I41</f>
        <v>0</v>
      </c>
      <c r="J55" s="22" t="n">
        <f aca="false">J41</f>
        <v>0</v>
      </c>
      <c r="K55" s="22" t="n">
        <f aca="false">K41</f>
        <v>0</v>
      </c>
      <c r="L55" s="22" t="n">
        <f aca="false">L41</f>
        <v>0</v>
      </c>
      <c r="M55" s="22" t="n">
        <f aca="false">M41</f>
        <v>0</v>
      </c>
      <c r="N55" s="22" t="n">
        <f aca="false">N41</f>
        <v>0</v>
      </c>
      <c r="O55" s="22" t="n">
        <f aca="false">O41</f>
        <v>0</v>
      </c>
      <c r="P55" s="22" t="n">
        <f aca="false">P41</f>
        <v>0</v>
      </c>
      <c r="Q55" s="22" t="n">
        <f aca="false">Q41</f>
        <v>0</v>
      </c>
    </row>
    <row r="56" customFormat="false" ht="15" hidden="false" customHeight="false" outlineLevel="0" collapsed="false">
      <c r="A56" s="2" t="s">
        <v>127</v>
      </c>
      <c r="C56" s="22" t="n">
        <f aca="false">SUM(C42:C53)</f>
        <v>0</v>
      </c>
      <c r="D56" s="22" t="n">
        <f aca="false">SUM(D42:D53)</f>
        <v>0</v>
      </c>
      <c r="E56" s="22" t="n">
        <f aca="false">SUM(E42:E53)</f>
        <v>20000</v>
      </c>
      <c r="F56" s="22" t="n">
        <f aca="false">SUM(F42:F53)</f>
        <v>40000</v>
      </c>
      <c r="G56" s="22" t="n">
        <f aca="false">SUM(G42:G53)</f>
        <v>60000</v>
      </c>
      <c r="H56" s="22" t="n">
        <f aca="false">SUM(H42:H53)</f>
        <v>80000</v>
      </c>
      <c r="I56" s="22" t="n">
        <f aca="false">SUM(I42:I53)</f>
        <v>80000</v>
      </c>
      <c r="J56" s="22" t="n">
        <f aca="false">SUM(J42:J53)</f>
        <v>60000</v>
      </c>
      <c r="K56" s="22" t="n">
        <f aca="false">SUM(K42:K53)</f>
        <v>40000</v>
      </c>
      <c r="L56" s="22" t="n">
        <f aca="false">SUM(L42:L53)</f>
        <v>20000</v>
      </c>
      <c r="M56" s="22" t="n">
        <f aca="false">SUM(M42:M53)</f>
        <v>0</v>
      </c>
      <c r="N56" s="22" t="n">
        <f aca="false">SUM(N42:N53)</f>
        <v>0</v>
      </c>
      <c r="O56" s="22" t="n">
        <f aca="false">SUM(O42:O53)</f>
        <v>0</v>
      </c>
      <c r="P56" s="22" t="n">
        <f aca="false">SUM(P42:P53)</f>
        <v>0</v>
      </c>
      <c r="Q56" s="22" t="n">
        <f aca="false">SUM(Q42:Q53)</f>
        <v>0</v>
      </c>
    </row>
    <row r="57" customFormat="false" ht="15" hidden="false" customHeight="false" outlineLevel="0" collapsed="false">
      <c r="A57" s="3" t="s">
        <v>128</v>
      </c>
      <c r="C57" s="25" t="n">
        <f aca="false">C55+C56</f>
        <v>0</v>
      </c>
      <c r="D57" s="25" t="n">
        <f aca="false">D55+D56</f>
        <v>100000</v>
      </c>
      <c r="E57" s="25" t="n">
        <f aca="false">E55+E56</f>
        <v>120000</v>
      </c>
      <c r="F57" s="25" t="n">
        <f aca="false">F55+F56</f>
        <v>140000</v>
      </c>
      <c r="G57" s="25" t="n">
        <f aca="false">G55+G56</f>
        <v>160000</v>
      </c>
      <c r="H57" s="25" t="n">
        <f aca="false">H55+H56</f>
        <v>180000</v>
      </c>
      <c r="I57" s="25" t="n">
        <f aca="false">I55+I56</f>
        <v>80000</v>
      </c>
      <c r="J57" s="25" t="n">
        <f aca="false">J55+J56</f>
        <v>60000</v>
      </c>
      <c r="K57" s="25" t="n">
        <f aca="false">K55+K56</f>
        <v>40000</v>
      </c>
      <c r="L57" s="25" t="n">
        <f aca="false">L55+L56</f>
        <v>20000</v>
      </c>
      <c r="M57" s="25" t="n">
        <f aca="false">M55+M56</f>
        <v>0</v>
      </c>
      <c r="N57" s="25" t="n">
        <f aca="false">N55+N56</f>
        <v>0</v>
      </c>
      <c r="O57" s="25" t="n">
        <f aca="false">O55+O56</f>
        <v>0</v>
      </c>
      <c r="P57" s="25" t="n">
        <f aca="false">P55+P56</f>
        <v>0</v>
      </c>
      <c r="Q57" s="25" t="n">
        <f aca="false">Q55+Q56</f>
        <v>0</v>
      </c>
    </row>
    <row r="58" customFormat="false" ht="15" hidden="false" customHeight="false" outlineLevel="0" collapsed="false">
      <c r="A58" s="2" t="s">
        <v>129</v>
      </c>
      <c r="C58" s="23" t="n">
        <f aca="false">SUMPRODUCT((C41:C53&gt;0)*1)</f>
        <v>0</v>
      </c>
      <c r="D58" s="23" t="n">
        <f aca="false">SUMPRODUCT((D41:D53&gt;0)*1)</f>
        <v>1</v>
      </c>
      <c r="E58" s="23" t="n">
        <f aca="false">SUMPRODUCT((E41:E53&gt;0)*1)</f>
        <v>2</v>
      </c>
      <c r="F58" s="23" t="n">
        <f aca="false">SUMPRODUCT((F41:F53&gt;0)*1)</f>
        <v>3</v>
      </c>
      <c r="G58" s="23" t="n">
        <f aca="false">SUMPRODUCT((G41:G53&gt;0)*1)</f>
        <v>4</v>
      </c>
      <c r="H58" s="23" t="n">
        <f aca="false">SUMPRODUCT((H41:H53&gt;0)*1)</f>
        <v>5</v>
      </c>
      <c r="I58" s="23" t="n">
        <f aca="false">SUMPRODUCT((I41:I53&gt;0)*1)</f>
        <v>4</v>
      </c>
      <c r="J58" s="23" t="n">
        <f aca="false">SUMPRODUCT((J41:J53&gt;0)*1)</f>
        <v>3</v>
      </c>
      <c r="K58" s="23" t="n">
        <f aca="false">SUMPRODUCT((K41:K53&gt;0)*1)</f>
        <v>2</v>
      </c>
      <c r="L58" s="23" t="n">
        <f aca="false">SUMPRODUCT((L41:L53&gt;0)*1)</f>
        <v>1</v>
      </c>
      <c r="M58" s="23" t="n">
        <f aca="false">SUMPRODUCT((M41:M53&gt;0)*1)</f>
        <v>0</v>
      </c>
      <c r="N58" s="23" t="n">
        <f aca="false">SUMPRODUCT((N41:N53&gt;0)*1)</f>
        <v>0</v>
      </c>
      <c r="O58" s="23" t="n">
        <f aca="false">SUMPRODUCT((O41:O53&gt;0)*1)</f>
        <v>0</v>
      </c>
      <c r="P58" s="23" t="n">
        <f aca="false">SUMPRODUCT((P41:P53&gt;0)*1)</f>
        <v>0</v>
      </c>
      <c r="Q58" s="23" t="n">
        <f aca="false">SUMPRODUCT((Q41:Q53&gt;0)*1)</f>
        <v>0</v>
      </c>
    </row>
    <row r="60" customFormat="false" ht="15" hidden="false" customHeight="false" outlineLevel="0" collapsed="false">
      <c r="A60" s="3" t="s">
        <v>130</v>
      </c>
      <c r="C60" s="26" t="n">
        <f aca="false">C35+C37+C38+C57</f>
        <v>215000</v>
      </c>
      <c r="D60" s="26" t="n">
        <f aca="false">D35+D37+D38+D57</f>
        <v>339545.625</v>
      </c>
      <c r="E60" s="26" t="n">
        <f aca="false">E35+E37+E38+E57</f>
        <v>337763.809375</v>
      </c>
      <c r="F60" s="26" t="n">
        <f aca="false">F35+F37+F38+F57</f>
        <v>361030.266515625</v>
      </c>
      <c r="G60" s="26" t="n">
        <f aca="false">G35+G37+G38+G57</f>
        <v>384345.720513359</v>
      </c>
      <c r="H60" s="26" t="n">
        <f aca="false">H35+H37+H38+H57</f>
        <v>407710.90632106</v>
      </c>
      <c r="I60" s="26" t="n">
        <f aca="false">I35+I37+I38+I57</f>
        <v>311126.569915876</v>
      </c>
      <c r="J60" s="26" t="n">
        <f aca="false">J35+J37+J38+J57</f>
        <v>294593.468464614</v>
      </c>
      <c r="K60" s="26" t="n">
        <f aca="false">K35+K37+K38+K57</f>
        <v>278112.370491583</v>
      </c>
      <c r="L60" s="26" t="n">
        <f aca="false">L35+L37+L38+L57</f>
        <v>261684.056048957</v>
      </c>
      <c r="M60" s="26" t="n">
        <f aca="false">M35+M37+M38+M57</f>
        <v>245309.316889691</v>
      </c>
      <c r="N60" s="26" t="n">
        <f aca="false">N35+N37+N38+N57</f>
        <v>248988.956643036</v>
      </c>
      <c r="O60" s="26" t="n">
        <f aca="false">O35+O37+O38+O57</f>
        <v>252723.790992682</v>
      </c>
      <c r="P60" s="26" t="n">
        <f aca="false">P35+P37+P38+P57</f>
        <v>256514.647857572</v>
      </c>
      <c r="Q60" s="26" t="n">
        <f aca="false">Q35+Q37+Q38+Q57</f>
        <v>260362.367575435</v>
      </c>
    </row>
    <row r="61" customFormat="false" ht="15" hidden="false" customHeight="false" outlineLevel="0" collapsed="false">
      <c r="A61" s="3" t="s">
        <v>131</v>
      </c>
      <c r="C61" s="25" t="n">
        <f aca="false">C60</f>
        <v>215000</v>
      </c>
      <c r="D61" s="25" t="n">
        <f aca="false">C61+D60</f>
        <v>554545.625</v>
      </c>
      <c r="E61" s="25" t="n">
        <f aca="false">D61+E60</f>
        <v>892309.434375</v>
      </c>
      <c r="F61" s="25" t="n">
        <f aca="false">E61+F60</f>
        <v>1253339.70089063</v>
      </c>
      <c r="G61" s="25" t="n">
        <f aca="false">F61+G60</f>
        <v>1637685.42140398</v>
      </c>
      <c r="H61" s="25" t="n">
        <f aca="false">G61+H60</f>
        <v>2045396.32772504</v>
      </c>
      <c r="I61" s="25" t="n">
        <f aca="false">H61+I60</f>
        <v>2356522.89764092</v>
      </c>
      <c r="J61" s="25" t="n">
        <f aca="false">I61+J60</f>
        <v>2651116.36610553</v>
      </c>
      <c r="K61" s="25" t="n">
        <f aca="false">J61+K60</f>
        <v>2929228.73659712</v>
      </c>
      <c r="L61" s="25" t="n">
        <f aca="false">K61+L60</f>
        <v>3190912.79264607</v>
      </c>
      <c r="M61" s="25" t="n">
        <f aca="false">L61+M60</f>
        <v>3436222.10953576</v>
      </c>
      <c r="N61" s="25" t="n">
        <f aca="false">M61+N60</f>
        <v>3685211.0661788</v>
      </c>
      <c r="O61" s="25" t="n">
        <f aca="false">N61+O60</f>
        <v>3937934.85717148</v>
      </c>
      <c r="P61" s="25" t="n">
        <f aca="false">O61+P60</f>
        <v>4194449.50502905</v>
      </c>
      <c r="Q61" s="25" t="n">
        <f aca="false">P61+Q60</f>
        <v>4454811.87260449</v>
      </c>
    </row>
    <row r="63" customFormat="false" ht="15" hidden="false" customHeight="false" outlineLevel="0" collapsed="false">
      <c r="A63" s="2" t="s">
        <v>132</v>
      </c>
      <c r="B63" s="24" t="n">
        <f aca="false">SUM(W41:W53)</f>
        <v>0</v>
      </c>
    </row>
    <row r="64" customFormat="false" ht="15" hidden="false" customHeight="false" outlineLevel="0" collapsed="false">
      <c r="A64" s="2" t="s">
        <v>133</v>
      </c>
      <c r="B64" s="22" t="n">
        <f aca="false">B63*$Q$34</f>
        <v>0</v>
      </c>
    </row>
    <row r="76" customFormat="false" ht="15" hidden="false" customHeight="false" outlineLevel="0" collapsed="false">
      <c r="A76" s="18" t="s">
        <v>134</v>
      </c>
      <c r="B76" s="19" t="str">
        <f aca="false">Scenarios!D$3</f>
        <v>Medium</v>
      </c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</row>
    <row r="77" customFormat="false" ht="15" hidden="false" customHeight="false" outlineLevel="0" collapsed="false">
      <c r="A77" s="3" t="s">
        <v>101</v>
      </c>
      <c r="C77" s="17" t="n">
        <v>1</v>
      </c>
      <c r="D77" s="17" t="n">
        <v>2</v>
      </c>
      <c r="E77" s="17" t="n">
        <v>3</v>
      </c>
      <c r="F77" s="17" t="n">
        <v>4</v>
      </c>
      <c r="G77" s="17" t="n">
        <v>5</v>
      </c>
      <c r="H77" s="17" t="n">
        <v>6</v>
      </c>
      <c r="I77" s="17" t="n">
        <v>7</v>
      </c>
      <c r="J77" s="17" t="n">
        <v>8</v>
      </c>
      <c r="K77" s="17" t="n">
        <v>9</v>
      </c>
      <c r="L77" s="17" t="n">
        <v>10</v>
      </c>
      <c r="M77" s="17" t="n">
        <v>11</v>
      </c>
      <c r="N77" s="17" t="n">
        <v>12</v>
      </c>
      <c r="O77" s="17" t="n">
        <v>13</v>
      </c>
      <c r="P77" s="17" t="n">
        <v>14</v>
      </c>
      <c r="Q77" s="17" t="n">
        <v>15</v>
      </c>
    </row>
    <row r="78" customFormat="false" ht="15" hidden="false" customHeight="false" outlineLevel="0" collapsed="false">
      <c r="A78" s="3" t="s">
        <v>102</v>
      </c>
      <c r="C78" s="17" t="n">
        <f aca="false">$B$6</f>
        <v>2026</v>
      </c>
      <c r="D78" s="17" t="n">
        <f aca="false">C78+1</f>
        <v>2027</v>
      </c>
      <c r="E78" s="17" t="n">
        <f aca="false">D78+1</f>
        <v>2028</v>
      </c>
      <c r="F78" s="17" t="n">
        <f aca="false">E78+1</f>
        <v>2029</v>
      </c>
      <c r="G78" s="17" t="n">
        <f aca="false">F78+1</f>
        <v>2030</v>
      </c>
      <c r="H78" s="17" t="n">
        <f aca="false">G78+1</f>
        <v>2031</v>
      </c>
      <c r="I78" s="17" t="n">
        <f aca="false">H78+1</f>
        <v>2032</v>
      </c>
      <c r="J78" s="17" t="n">
        <f aca="false">I78+1</f>
        <v>2033</v>
      </c>
      <c r="K78" s="17" t="n">
        <f aca="false">J78+1</f>
        <v>2034</v>
      </c>
      <c r="L78" s="17" t="n">
        <f aca="false">K78+1</f>
        <v>2035</v>
      </c>
      <c r="M78" s="17" t="n">
        <f aca="false">L78+1</f>
        <v>2036</v>
      </c>
      <c r="N78" s="17" t="n">
        <f aca="false">M78+1</f>
        <v>2037</v>
      </c>
      <c r="O78" s="17" t="n">
        <f aca="false">N78+1</f>
        <v>2038</v>
      </c>
      <c r="P78" s="17" t="n">
        <f aca="false">O78+1</f>
        <v>2039</v>
      </c>
      <c r="Q78" s="17" t="n">
        <f aca="false">P78+1</f>
        <v>2040</v>
      </c>
    </row>
    <row r="79" customFormat="false" ht="15" hidden="false" customHeight="false" outlineLevel="0" collapsed="false">
      <c r="A79" s="2" t="s">
        <v>103</v>
      </c>
      <c r="C79" s="21" t="n">
        <f aca="false">$B$17</f>
        <v>180</v>
      </c>
      <c r="D79" s="21" t="n">
        <f aca="false">C79*(1+Scenarios!$D$4)</f>
        <v>192.6</v>
      </c>
      <c r="E79" s="21" t="n">
        <f aca="false">D79*(1+Scenarios!$D$4)</f>
        <v>206.082</v>
      </c>
      <c r="F79" s="21" t="n">
        <f aca="false">E79*(1+Scenarios!$D$4)</f>
        <v>220.50774</v>
      </c>
      <c r="G79" s="21" t="n">
        <f aca="false">F79*(1+Scenarios!$D$4)</f>
        <v>235.9432818</v>
      </c>
      <c r="H79" s="21" t="n">
        <f aca="false">G79*(1+Scenarios!$D$4)</f>
        <v>252.459311526</v>
      </c>
      <c r="I79" s="21" t="n">
        <f aca="false">H79*(1+Scenarios!$D$4)</f>
        <v>270.13146333282</v>
      </c>
      <c r="J79" s="21" t="n">
        <f aca="false">I79*(1+Scenarios!$D$4)</f>
        <v>289.040665766118</v>
      </c>
      <c r="K79" s="21" t="n">
        <f aca="false">J79*(1+Scenarios!$D$4)</f>
        <v>309.273512369746</v>
      </c>
      <c r="L79" s="21" t="n">
        <f aca="false">K79*(1+Scenarios!$D$4)</f>
        <v>330.922658235628</v>
      </c>
      <c r="M79" s="21" t="n">
        <f aca="false">L79*(1+Scenarios!$D$4)</f>
        <v>354.087244312122</v>
      </c>
      <c r="N79" s="21" t="n">
        <f aca="false">M79*(1+Scenarios!$D$4)</f>
        <v>378.873351413971</v>
      </c>
      <c r="O79" s="21" t="n">
        <f aca="false">N79*(1+Scenarios!$D$4)</f>
        <v>405.394486012949</v>
      </c>
      <c r="P79" s="21" t="n">
        <f aca="false">O79*(1+Scenarios!$D$4)</f>
        <v>433.772100033855</v>
      </c>
      <c r="Q79" s="21" t="n">
        <f aca="false">P79*(1+Scenarios!$D$4)</f>
        <v>464.136147036225</v>
      </c>
    </row>
    <row r="80" customFormat="false" ht="15" hidden="false" customHeight="false" outlineLevel="0" collapsed="false">
      <c r="A80" s="2" t="s">
        <v>104</v>
      </c>
      <c r="C80" s="22" t="n">
        <f aca="false">$B$7</f>
        <v>190000</v>
      </c>
      <c r="D80" s="22" t="n">
        <f aca="false">C80*(1+$B$8*Scenarios!$D$5)</f>
        <v>195700</v>
      </c>
      <c r="E80" s="22" t="n">
        <f aca="false">D80*(1+$B$8*Scenarios!$D$5)</f>
        <v>201571</v>
      </c>
      <c r="F80" s="22" t="n">
        <f aca="false">E80*(1+$B$8*Scenarios!$D$5)</f>
        <v>207618.13</v>
      </c>
      <c r="G80" s="22" t="n">
        <f aca="false">F80*(1+$B$8*Scenarios!$D$5)</f>
        <v>213846.6739</v>
      </c>
      <c r="H80" s="22" t="n">
        <f aca="false">G80*(1+$B$8*Scenarios!$D$5)</f>
        <v>220262.074117</v>
      </c>
      <c r="I80" s="22" t="n">
        <f aca="false">H80*(1+$B$8*Scenarios!$D$5)</f>
        <v>226869.93634051</v>
      </c>
      <c r="J80" s="22" t="n">
        <f aca="false">I80*(1+$B$8*Scenarios!$D$5)</f>
        <v>233676.034430725</v>
      </c>
      <c r="K80" s="22" t="n">
        <f aca="false">J80*(1+$B$8*Scenarios!$D$5)</f>
        <v>240686.315463647</v>
      </c>
      <c r="L80" s="22" t="n">
        <f aca="false">K80*(1+$B$8*Scenarios!$D$5)</f>
        <v>247906.904927557</v>
      </c>
      <c r="M80" s="22" t="n">
        <f aca="false">L80*(1+$B$8*Scenarios!$D$5)</f>
        <v>255344.112075383</v>
      </c>
      <c r="N80" s="22" t="n">
        <f aca="false">M80*(1+$B$8*Scenarios!$D$5)</f>
        <v>263004.435437645</v>
      </c>
      <c r="O80" s="22" t="n">
        <f aca="false">N80*(1+$B$8*Scenarios!$D$5)</f>
        <v>270894.568500774</v>
      </c>
      <c r="P80" s="22" t="n">
        <f aca="false">O80*(1+$B$8*Scenarios!$D$5)</f>
        <v>279021.405555797</v>
      </c>
      <c r="Q80" s="22" t="n">
        <f aca="false">P80*(1+$B$8*Scenarios!$D$5)</f>
        <v>287392.047722471</v>
      </c>
    </row>
    <row r="81" customFormat="false" ht="15" hidden="false" customHeight="false" outlineLevel="0" collapsed="false">
      <c r="A81" s="2" t="s">
        <v>105</v>
      </c>
      <c r="C81" s="22" t="n">
        <f aca="false">IF($B$10="Prior",0,C80)</f>
        <v>190000</v>
      </c>
      <c r="D81" s="22" t="n">
        <f aca="false">IF($B$10="Prior",C80,D80)</f>
        <v>195700</v>
      </c>
      <c r="E81" s="22" t="n">
        <f aca="false">IF($B$10="Prior",D80,E80)</f>
        <v>201571</v>
      </c>
      <c r="F81" s="22" t="n">
        <f aca="false">IF($B$10="Prior",E80,F80)</f>
        <v>207618.13</v>
      </c>
      <c r="G81" s="22" t="n">
        <f aca="false">IF($B$10="Prior",F80,G80)</f>
        <v>213846.6739</v>
      </c>
      <c r="H81" s="22" t="n">
        <f aca="false">IF($B$10="Prior",G80,H80)</f>
        <v>220262.074117</v>
      </c>
      <c r="I81" s="22" t="n">
        <f aca="false">IF($B$10="Prior",H80,I80)</f>
        <v>226869.93634051</v>
      </c>
      <c r="J81" s="22" t="n">
        <f aca="false">IF($B$10="Prior",I80,J80)</f>
        <v>233676.034430725</v>
      </c>
      <c r="K81" s="22" t="n">
        <f aca="false">IF($B$10="Prior",J80,K80)</f>
        <v>240686.315463647</v>
      </c>
      <c r="L81" s="22" t="n">
        <f aca="false">IF($B$10="Prior",K80,L80)</f>
        <v>247906.904927557</v>
      </c>
      <c r="M81" s="22" t="n">
        <f aca="false">IF($B$10="Prior",L80,M80)</f>
        <v>255344.112075383</v>
      </c>
      <c r="N81" s="22" t="n">
        <f aca="false">IF($B$10="Prior",M80,N80)</f>
        <v>263004.435437645</v>
      </c>
      <c r="O81" s="22" t="n">
        <f aca="false">IF($B$10="Prior",N80,O80)</f>
        <v>270894.568500774</v>
      </c>
      <c r="P81" s="22" t="n">
        <f aca="false">IF($B$10="Prior",O80,P80)</f>
        <v>279021.405555797</v>
      </c>
      <c r="Q81" s="22" t="n">
        <f aca="false">IF($B$10="Prior",P80,Q80)</f>
        <v>287392.047722471</v>
      </c>
    </row>
    <row r="82" customFormat="false" ht="15" hidden="false" customHeight="false" outlineLevel="0" collapsed="false">
      <c r="A82" s="2" t="s">
        <v>106</v>
      </c>
      <c r="C82" s="22" t="n">
        <f aca="false">IF($B$11="No",0,C81*$B$9*Scenarios!$D$6)</f>
        <v>0</v>
      </c>
      <c r="D82" s="22" t="n">
        <f aca="false">D81*$B$9*Scenarios!$D$6</f>
        <v>29355</v>
      </c>
      <c r="E82" s="22" t="n">
        <f aca="false">E81*$B$9*Scenarios!$D$6</f>
        <v>30235.65</v>
      </c>
      <c r="F82" s="22" t="n">
        <f aca="false">F81*$B$9*Scenarios!$D$6</f>
        <v>31142.7195</v>
      </c>
      <c r="G82" s="22" t="n">
        <f aca="false">G81*$B$9*Scenarios!$D$6</f>
        <v>32077.001085</v>
      </c>
      <c r="H82" s="22" t="n">
        <f aca="false">H81*$B$9*Scenarios!$D$6</f>
        <v>33039.31111755</v>
      </c>
      <c r="I82" s="22" t="n">
        <f aca="false">I81*$B$9*Scenarios!$D$6</f>
        <v>34030.4904510765</v>
      </c>
      <c r="J82" s="22" t="n">
        <f aca="false">J81*$B$9*Scenarios!$D$6</f>
        <v>35051.4051646088</v>
      </c>
      <c r="K82" s="22" t="n">
        <f aca="false">K81*$B$9*Scenarios!$D$6</f>
        <v>36102.9473195471</v>
      </c>
      <c r="L82" s="22" t="n">
        <f aca="false">L81*$B$9*Scenarios!$D$6</f>
        <v>37186.0357391335</v>
      </c>
      <c r="M82" s="22" t="n">
        <f aca="false">M81*$B$9*Scenarios!$D$6</f>
        <v>38301.6168113075</v>
      </c>
      <c r="N82" s="22" t="n">
        <f aca="false">N81*$B$9*Scenarios!$D$6</f>
        <v>39450.6653156467</v>
      </c>
      <c r="O82" s="22" t="n">
        <f aca="false">O81*$B$9*Scenarios!$D$6</f>
        <v>40634.1852751161</v>
      </c>
      <c r="P82" s="22" t="n">
        <f aca="false">P81*$B$9*Scenarios!$D$6</f>
        <v>41853.2108333696</v>
      </c>
      <c r="Q82" s="22" t="n">
        <f aca="false">Q81*$B$9*Scenarios!$D$6</f>
        <v>43108.8071583707</v>
      </c>
    </row>
    <row r="83" customFormat="false" ht="15" hidden="false" customHeight="false" outlineLevel="0" collapsed="false">
      <c r="A83" s="2" t="s">
        <v>107</v>
      </c>
      <c r="C83" s="22" t="n">
        <f aca="false">$B$12*$B$13</f>
        <v>25000</v>
      </c>
      <c r="D83" s="22" t="n">
        <f aca="false">$B$12*$B$14</f>
        <v>25000</v>
      </c>
      <c r="E83" s="22" t="n">
        <f aca="false">$B$12*$B$15</f>
        <v>0</v>
      </c>
      <c r="F83" s="22" t="n">
        <v>0</v>
      </c>
      <c r="G83" s="22" t="n">
        <v>0</v>
      </c>
      <c r="H83" s="22" t="n">
        <v>0</v>
      </c>
      <c r="I83" s="22" t="n">
        <v>0</v>
      </c>
      <c r="J83" s="22" t="n">
        <v>0</v>
      </c>
      <c r="K83" s="22" t="n">
        <v>0</v>
      </c>
      <c r="L83" s="22" t="n">
        <v>0</v>
      </c>
      <c r="M83" s="22" t="n">
        <v>0</v>
      </c>
      <c r="N83" s="22" t="n">
        <v>0</v>
      </c>
      <c r="O83" s="22" t="n">
        <v>0</v>
      </c>
      <c r="P83" s="22" t="n">
        <v>0</v>
      </c>
      <c r="Q83" s="22" t="n">
        <v>0</v>
      </c>
    </row>
    <row r="85" customFormat="false" ht="15" hidden="false" customHeight="false" outlineLevel="0" collapsed="false">
      <c r="A85" s="3" t="s">
        <v>108</v>
      </c>
      <c r="S85" s="7" t="s">
        <v>109</v>
      </c>
      <c r="T85" s="7" t="s">
        <v>110</v>
      </c>
      <c r="U85" s="7" t="s">
        <v>111</v>
      </c>
      <c r="V85" s="7" t="s">
        <v>112</v>
      </c>
      <c r="W85" s="7" t="s">
        <v>113</v>
      </c>
    </row>
    <row r="86" customFormat="false" ht="15" hidden="false" customHeight="false" outlineLevel="0" collapsed="false">
      <c r="A86" s="2" t="s">
        <v>97</v>
      </c>
      <c r="C86" s="22" t="n">
        <f aca="false">IF(AND(C$78-$S86+1-$B$22&gt;=1,C$78-$S86+1-$B$22&lt;=8),INDEX($C$26:$J$26,1,C$78-$S86+1-$B$22),0)*$U86*C$79</f>
        <v>0</v>
      </c>
      <c r="D86" s="22" t="n">
        <f aca="false">IF(AND(D$78-$S86+1-$B$22&gt;=1,D$78-$S86+1-$B$22&lt;=8),INDEX($C$26:$J$26,1,D$78-$S86+1-$B$22),0)*$U86*D$79</f>
        <v>107000</v>
      </c>
      <c r="E86" s="22" t="n">
        <f aca="false">IF(AND(E$78-$S86+1-$B$22&gt;=1,E$78-$S86+1-$B$22&lt;=8),INDEX($C$26:$J$26,1,E$78-$S86+1-$B$22),0)*$U86*E$79</f>
        <v>114490</v>
      </c>
      <c r="F86" s="22" t="n">
        <f aca="false">IF(AND(F$78-$S86+1-$B$22&gt;=1,F$78-$S86+1-$B$22&lt;=8),INDEX($C$26:$J$26,1,F$78-$S86+1-$B$22),0)*$U86*F$79</f>
        <v>122504.3</v>
      </c>
      <c r="G86" s="22" t="n">
        <f aca="false">IF(AND(G$78-$S86+1-$B$22&gt;=1,G$78-$S86+1-$B$22&lt;=8),INDEX($C$26:$J$26,1,G$78-$S86+1-$B$22),0)*$U86*G$79</f>
        <v>131079.601</v>
      </c>
      <c r="H86" s="22" t="n">
        <f aca="false">IF(AND(H$78-$S86+1-$B$22&gt;=1,H$78-$S86+1-$B$22&lt;=8),INDEX($C$26:$J$26,1,H$78-$S86+1-$B$22),0)*$U86*H$79</f>
        <v>140255.17307</v>
      </c>
      <c r="I86" s="22" t="n">
        <f aca="false">IF(AND(I$78-$S86+1-$B$22&gt;=1,I$78-$S86+1-$B$22&lt;=8),INDEX($C$26:$J$26,1,I$78-$S86+1-$B$22),0)*$U86*I$79</f>
        <v>0</v>
      </c>
      <c r="J86" s="22" t="n">
        <f aca="false">IF(AND(J$78-$S86+1-$B$22&gt;=1,J$78-$S86+1-$B$22&lt;=8),INDEX($C$26:$J$26,1,J$78-$S86+1-$B$22),0)*$U86*J$79</f>
        <v>0</v>
      </c>
      <c r="K86" s="22" t="n">
        <f aca="false">IF(AND(K$78-$S86+1-$B$22&gt;=1,K$78-$S86+1-$B$22&lt;=8),INDEX($C$26:$J$26,1,K$78-$S86+1-$B$22),0)*$U86*K$79</f>
        <v>0</v>
      </c>
      <c r="L86" s="22" t="n">
        <f aca="false">IF(AND(L$78-$S86+1-$B$22&gt;=1,L$78-$S86+1-$B$22&lt;=8),INDEX($C$26:$J$26,1,L$78-$S86+1-$B$22),0)*$U86*L$79</f>
        <v>0</v>
      </c>
      <c r="M86" s="22" t="n">
        <f aca="false">IF(AND(M$78-$S86+1-$B$22&gt;=1,M$78-$S86+1-$B$22&lt;=8),INDEX($C$26:$J$26,1,M$78-$S86+1-$B$22),0)*$U86*M$79</f>
        <v>0</v>
      </c>
      <c r="N86" s="22" t="n">
        <f aca="false">IF(AND(N$78-$S86+1-$B$22&gt;=1,N$78-$S86+1-$B$22&lt;=8),INDEX($C$26:$J$26,1,N$78-$S86+1-$B$22),0)*$U86*N$79</f>
        <v>0</v>
      </c>
      <c r="O86" s="22" t="n">
        <f aca="false">IF(AND(O$78-$S86+1-$B$22&gt;=1,O$78-$S86+1-$B$22&lt;=8),INDEX($C$26:$J$26,1,O$78-$S86+1-$B$22),0)*$U86*O$79</f>
        <v>0</v>
      </c>
      <c r="P86" s="22" t="n">
        <f aca="false">IF(AND(P$78-$S86+1-$B$22&gt;=1,P$78-$S86+1-$B$22&lt;=8),INDEX($C$26:$J$26,1,P$78-$S86+1-$B$22),0)*$U86*P$79</f>
        <v>0</v>
      </c>
      <c r="Q86" s="22" t="n">
        <f aca="false">IF(AND(Q$78-$S86+1-$B$22&gt;=1,Q$78-$S86+1-$B$22&lt;=8),INDEX($C$26:$J$26,1,Q$78-$S86+1-$B$22),0)*$U86*Q$79</f>
        <v>0</v>
      </c>
      <c r="S86" s="23" t="n">
        <f aca="false">$B$6</f>
        <v>2026</v>
      </c>
      <c r="T86" s="22" t="n">
        <f aca="false">$B$18</f>
        <v>500000</v>
      </c>
      <c r="U86" s="24" t="n">
        <f aca="false">IFERROR(T86/$B$17,0)</f>
        <v>2777.77777777778</v>
      </c>
      <c r="V86" s="24" t="n">
        <f aca="false">SUMPRODUCT(($C$25:$J$25&lt;=$Q$78-$S86+1-$B$22)*$C$26:$J$26)*$U86</f>
        <v>2777.77777777778</v>
      </c>
      <c r="W86" s="24" t="n">
        <f aca="false">$U86-$V86</f>
        <v>0</v>
      </c>
    </row>
    <row r="87" customFormat="false" ht="15" hidden="false" customHeight="false" outlineLevel="0" collapsed="false">
      <c r="A87" s="2" t="s">
        <v>114</v>
      </c>
      <c r="C87" s="22" t="n">
        <f aca="false">IF(AND(C$78-$S87+1-$B$22&gt;=1,C$78-$S87+1-$B$22&lt;=8),INDEX($C$27:$J$27,1,C$78-$S87+1-$B$22),0)*$U87*C$79</f>
        <v>0</v>
      </c>
      <c r="D87" s="22" t="n">
        <f aca="false">IF(AND(D$78-$S87+1-$B$22&gt;=1,D$78-$S87+1-$B$22&lt;=8),INDEX($C$27:$J$27,1,D$78-$S87+1-$B$22),0)*$U87*D$79</f>
        <v>0</v>
      </c>
      <c r="E87" s="22" t="n">
        <f aca="false">IF(AND(E$78-$S87+1-$B$22&gt;=1,E$78-$S87+1-$B$22&lt;=8),INDEX($C$27:$J$27,1,E$78-$S87+1-$B$22),0)*$U87*E$79</f>
        <v>21400</v>
      </c>
      <c r="F87" s="22" t="n">
        <f aca="false">IF(AND(F$78-$S87+1-$B$22&gt;=1,F$78-$S87+1-$B$22&lt;=8),INDEX($C$27:$J$27,1,F$78-$S87+1-$B$22),0)*$U87*F$79</f>
        <v>22898</v>
      </c>
      <c r="G87" s="22" t="n">
        <f aca="false">IF(AND(G$78-$S87+1-$B$22&gt;=1,G$78-$S87+1-$B$22&lt;=8),INDEX($C$27:$J$27,1,G$78-$S87+1-$B$22),0)*$U87*G$79</f>
        <v>24500.86</v>
      </c>
      <c r="H87" s="22" t="n">
        <f aca="false">IF(AND(H$78-$S87+1-$B$22&gt;=1,H$78-$S87+1-$B$22&lt;=8),INDEX($C$27:$J$27,1,H$78-$S87+1-$B$22),0)*$U87*H$79</f>
        <v>26215.9202</v>
      </c>
      <c r="I87" s="22" t="n">
        <f aca="false">IF(AND(I$78-$S87+1-$B$22&gt;=1,I$78-$S87+1-$B$22&lt;=8),INDEX($C$27:$J$27,1,I$78-$S87+1-$B$22),0)*$U87*I$79</f>
        <v>28051.034614</v>
      </c>
      <c r="J87" s="22" t="n">
        <f aca="false">IF(AND(J$78-$S87+1-$B$22&gt;=1,J$78-$S87+1-$B$22&lt;=8),INDEX($C$27:$J$27,1,J$78-$S87+1-$B$22),0)*$U87*J$79</f>
        <v>0</v>
      </c>
      <c r="K87" s="22" t="n">
        <f aca="false">IF(AND(K$78-$S87+1-$B$22&gt;=1,K$78-$S87+1-$B$22&lt;=8),INDEX($C$27:$J$27,1,K$78-$S87+1-$B$22),0)*$U87*K$79</f>
        <v>0</v>
      </c>
      <c r="L87" s="22" t="n">
        <f aca="false">IF(AND(L$78-$S87+1-$B$22&gt;=1,L$78-$S87+1-$B$22&lt;=8),INDEX($C$27:$J$27,1,L$78-$S87+1-$B$22),0)*$U87*L$79</f>
        <v>0</v>
      </c>
      <c r="M87" s="22" t="n">
        <f aca="false">IF(AND(M$78-$S87+1-$B$22&gt;=1,M$78-$S87+1-$B$22&lt;=8),INDEX($C$27:$J$27,1,M$78-$S87+1-$B$22),0)*$U87*M$79</f>
        <v>0</v>
      </c>
      <c r="N87" s="22" t="n">
        <f aca="false">IF(AND(N$78-$S87+1-$B$22&gt;=1,N$78-$S87+1-$B$22&lt;=8),INDEX($C$27:$J$27,1,N$78-$S87+1-$B$22),0)*$U87*N$79</f>
        <v>0</v>
      </c>
      <c r="O87" s="22" t="n">
        <f aca="false">IF(AND(O$78-$S87+1-$B$22&gt;=1,O$78-$S87+1-$B$22&lt;=8),INDEX($C$27:$J$27,1,O$78-$S87+1-$B$22),0)*$U87*O$79</f>
        <v>0</v>
      </c>
      <c r="P87" s="22" t="n">
        <f aca="false">IF(AND(P$78-$S87+1-$B$22&gt;=1,P$78-$S87+1-$B$22&lt;=8),INDEX($C$27:$J$27,1,P$78-$S87+1-$B$22),0)*$U87*P$79</f>
        <v>0</v>
      </c>
      <c r="Q87" s="22" t="n">
        <f aca="false">IF(AND(Q$78-$S87+1-$B$22&gt;=1,Q$78-$S87+1-$B$22&lt;=8),INDEX($C$27:$J$27,1,Q$78-$S87+1-$B$22),0)*$U87*Q$79</f>
        <v>0</v>
      </c>
      <c r="S87" s="23" t="n">
        <f aca="false">$B$20+0</f>
        <v>2027</v>
      </c>
      <c r="T87" s="22" t="n">
        <f aca="false">IF($S87&gt;$B$20+Scenarios!$D$8-1,0,$B$19*(1+$B$21*Scenarios!$D$7)^0)</f>
        <v>100000</v>
      </c>
      <c r="U87" s="24" t="n">
        <f aca="false">IFERROR($T87/INDEX($C$79:$Q$79,1,MATCH($S87,$C$78:$Q$78,0)),0)</f>
        <v>519.210799584631</v>
      </c>
      <c r="V87" s="24" t="n">
        <f aca="false">SUMPRODUCT(($C$25:$J$25&lt;=$Q$78-$S87+1-$B$22)*$C$27:$J$27)*$U87</f>
        <v>519.210799584631</v>
      </c>
      <c r="W87" s="24" t="n">
        <f aca="false">$U87-$V87</f>
        <v>0</v>
      </c>
    </row>
    <row r="88" customFormat="false" ht="15" hidden="false" customHeight="false" outlineLevel="0" collapsed="false">
      <c r="A88" s="2" t="s">
        <v>115</v>
      </c>
      <c r="C88" s="22" t="n">
        <f aca="false">IF(AND(C$78-$S88+1-$B$22&gt;=1,C$78-$S88+1-$B$22&lt;=8),INDEX($C$27:$J$27,1,C$78-$S88+1-$B$22),0)*$U88*C$79</f>
        <v>0</v>
      </c>
      <c r="D88" s="22" t="n">
        <f aca="false">IF(AND(D$78-$S88+1-$B$22&gt;=1,D$78-$S88+1-$B$22&lt;=8),INDEX($C$27:$J$27,1,D$78-$S88+1-$B$22),0)*$U88*D$79</f>
        <v>0</v>
      </c>
      <c r="E88" s="22" t="n">
        <f aca="false">IF(AND(E$78-$S88+1-$B$22&gt;=1,E$78-$S88+1-$B$22&lt;=8),INDEX($C$27:$J$27,1,E$78-$S88+1-$B$22),0)*$U88*E$79</f>
        <v>0</v>
      </c>
      <c r="F88" s="22" t="n">
        <f aca="false">IF(AND(F$78-$S88+1-$B$22&gt;=1,F$78-$S88+1-$B$22&lt;=8),INDEX($C$27:$J$27,1,F$78-$S88+1-$B$22),0)*$U88*F$79</f>
        <v>22042</v>
      </c>
      <c r="G88" s="22" t="n">
        <f aca="false">IF(AND(G$78-$S88+1-$B$22&gt;=1,G$78-$S88+1-$B$22&lt;=8),INDEX($C$27:$J$27,1,G$78-$S88+1-$B$22),0)*$U88*G$79</f>
        <v>23584.94</v>
      </c>
      <c r="H88" s="22" t="n">
        <f aca="false">IF(AND(H$78-$S88+1-$B$22&gt;=1,H$78-$S88+1-$B$22&lt;=8),INDEX($C$27:$J$27,1,H$78-$S88+1-$B$22),0)*$U88*H$79</f>
        <v>25235.8858</v>
      </c>
      <c r="I88" s="22" t="n">
        <f aca="false">IF(AND(I$78-$S88+1-$B$22&gt;=1,I$78-$S88+1-$B$22&lt;=8),INDEX($C$27:$J$27,1,I$78-$S88+1-$B$22),0)*$U88*I$79</f>
        <v>27002.397806</v>
      </c>
      <c r="J88" s="22" t="n">
        <f aca="false">IF(AND(J$78-$S88+1-$B$22&gt;=1,J$78-$S88+1-$B$22&lt;=8),INDEX($C$27:$J$27,1,J$78-$S88+1-$B$22),0)*$U88*J$79</f>
        <v>28892.56565242</v>
      </c>
      <c r="K88" s="22" t="n">
        <f aca="false">IF(AND(K$78-$S88+1-$B$22&gt;=1,K$78-$S88+1-$B$22&lt;=8),INDEX($C$27:$J$27,1,K$78-$S88+1-$B$22),0)*$U88*K$79</f>
        <v>0</v>
      </c>
      <c r="L88" s="22" t="n">
        <f aca="false">IF(AND(L$78-$S88+1-$B$22&gt;=1,L$78-$S88+1-$B$22&lt;=8),INDEX($C$27:$J$27,1,L$78-$S88+1-$B$22),0)*$U88*L$79</f>
        <v>0</v>
      </c>
      <c r="M88" s="22" t="n">
        <f aca="false">IF(AND(M$78-$S88+1-$B$22&gt;=1,M$78-$S88+1-$B$22&lt;=8),INDEX($C$27:$J$27,1,M$78-$S88+1-$B$22),0)*$U88*M$79</f>
        <v>0</v>
      </c>
      <c r="N88" s="22" t="n">
        <f aca="false">IF(AND(N$78-$S88+1-$B$22&gt;=1,N$78-$S88+1-$B$22&lt;=8),INDEX($C$27:$J$27,1,N$78-$S88+1-$B$22),0)*$U88*N$79</f>
        <v>0</v>
      </c>
      <c r="O88" s="22" t="n">
        <f aca="false">IF(AND(O$78-$S88+1-$B$22&gt;=1,O$78-$S88+1-$B$22&lt;=8),INDEX($C$27:$J$27,1,O$78-$S88+1-$B$22),0)*$U88*O$79</f>
        <v>0</v>
      </c>
      <c r="P88" s="22" t="n">
        <f aca="false">IF(AND(P$78-$S88+1-$B$22&gt;=1,P$78-$S88+1-$B$22&lt;=8),INDEX($C$27:$J$27,1,P$78-$S88+1-$B$22),0)*$U88*P$79</f>
        <v>0</v>
      </c>
      <c r="Q88" s="22" t="n">
        <f aca="false">IF(AND(Q$78-$S88+1-$B$22&gt;=1,Q$78-$S88+1-$B$22&lt;=8),INDEX($C$27:$J$27,1,Q$78-$S88+1-$B$22),0)*$U88*Q$79</f>
        <v>0</v>
      </c>
      <c r="S88" s="23" t="n">
        <f aca="false">$B$20+1</f>
        <v>2028</v>
      </c>
      <c r="T88" s="22" t="n">
        <f aca="false">IF($S88&gt;$B$20+Scenarios!$D$8-1,0,$B$19*(1+$B$21*Scenarios!$D$7)^1)</f>
        <v>103000</v>
      </c>
      <c r="U88" s="24" t="n">
        <f aca="false">IFERROR($T88/INDEX($C$79:$Q$79,1,MATCH($S88,$C$78:$Q$78,0)),0)</f>
        <v>499.801050067449</v>
      </c>
      <c r="V88" s="24" t="n">
        <f aca="false">SUMPRODUCT(($C$25:$J$25&lt;=$Q$78-$S88+1-$B$22)*$C$27:$J$27)*$U88</f>
        <v>499.801050067449</v>
      </c>
      <c r="W88" s="24" t="n">
        <f aca="false">$U88-$V88</f>
        <v>0</v>
      </c>
    </row>
    <row r="89" customFormat="false" ht="15" hidden="false" customHeight="false" outlineLevel="0" collapsed="false">
      <c r="A89" s="2" t="s">
        <v>116</v>
      </c>
      <c r="C89" s="22" t="n">
        <f aca="false">IF(AND(C$78-$S89+1-$B$22&gt;=1,C$78-$S89+1-$B$22&lt;=8),INDEX($C$27:$J$27,1,C$78-$S89+1-$B$22),0)*$U89*C$79</f>
        <v>0</v>
      </c>
      <c r="D89" s="22" t="n">
        <f aca="false">IF(AND(D$78-$S89+1-$B$22&gt;=1,D$78-$S89+1-$B$22&lt;=8),INDEX($C$27:$J$27,1,D$78-$S89+1-$B$22),0)*$U89*D$79</f>
        <v>0</v>
      </c>
      <c r="E89" s="22" t="n">
        <f aca="false">IF(AND(E$78-$S89+1-$B$22&gt;=1,E$78-$S89+1-$B$22&lt;=8),INDEX($C$27:$J$27,1,E$78-$S89+1-$B$22),0)*$U89*E$79</f>
        <v>0</v>
      </c>
      <c r="F89" s="22" t="n">
        <f aca="false">IF(AND(F$78-$S89+1-$B$22&gt;=1,F$78-$S89+1-$B$22&lt;=8),INDEX($C$27:$J$27,1,F$78-$S89+1-$B$22),0)*$U89*F$79</f>
        <v>0</v>
      </c>
      <c r="G89" s="22" t="n">
        <f aca="false">IF(AND(G$78-$S89+1-$B$22&gt;=1,G$78-$S89+1-$B$22&lt;=8),INDEX($C$27:$J$27,1,G$78-$S89+1-$B$22),0)*$U89*G$79</f>
        <v>22703.26</v>
      </c>
      <c r="H89" s="22" t="n">
        <f aca="false">IF(AND(H$78-$S89+1-$B$22&gt;=1,H$78-$S89+1-$B$22&lt;=8),INDEX($C$27:$J$27,1,H$78-$S89+1-$B$22),0)*$U89*H$79</f>
        <v>24292.4882</v>
      </c>
      <c r="I89" s="22" t="n">
        <f aca="false">IF(AND(I$78-$S89+1-$B$22&gt;=1,I$78-$S89+1-$B$22&lt;=8),INDEX($C$27:$J$27,1,I$78-$S89+1-$B$22),0)*$U89*I$79</f>
        <v>25992.962374</v>
      </c>
      <c r="J89" s="22" t="n">
        <f aca="false">IF(AND(J$78-$S89+1-$B$22&gt;=1,J$78-$S89+1-$B$22&lt;=8),INDEX($C$27:$J$27,1,J$78-$S89+1-$B$22),0)*$U89*J$79</f>
        <v>27812.46974018</v>
      </c>
      <c r="K89" s="22" t="n">
        <f aca="false">IF(AND(K$78-$S89+1-$B$22&gt;=1,K$78-$S89+1-$B$22&lt;=8),INDEX($C$27:$J$27,1,K$78-$S89+1-$B$22),0)*$U89*K$79</f>
        <v>29759.3426219926</v>
      </c>
      <c r="L89" s="22" t="n">
        <f aca="false">IF(AND(L$78-$S89+1-$B$22&gt;=1,L$78-$S89+1-$B$22&lt;=8),INDEX($C$27:$J$27,1,L$78-$S89+1-$B$22),0)*$U89*L$79</f>
        <v>0</v>
      </c>
      <c r="M89" s="22" t="n">
        <f aca="false">IF(AND(M$78-$S89+1-$B$22&gt;=1,M$78-$S89+1-$B$22&lt;=8),INDEX($C$27:$J$27,1,M$78-$S89+1-$B$22),0)*$U89*M$79</f>
        <v>0</v>
      </c>
      <c r="N89" s="22" t="n">
        <f aca="false">IF(AND(N$78-$S89+1-$B$22&gt;=1,N$78-$S89+1-$B$22&lt;=8),INDEX($C$27:$J$27,1,N$78-$S89+1-$B$22),0)*$U89*N$79</f>
        <v>0</v>
      </c>
      <c r="O89" s="22" t="n">
        <f aca="false">IF(AND(O$78-$S89+1-$B$22&gt;=1,O$78-$S89+1-$B$22&lt;=8),INDEX($C$27:$J$27,1,O$78-$S89+1-$B$22),0)*$U89*O$79</f>
        <v>0</v>
      </c>
      <c r="P89" s="22" t="n">
        <f aca="false">IF(AND(P$78-$S89+1-$B$22&gt;=1,P$78-$S89+1-$B$22&lt;=8),INDEX($C$27:$J$27,1,P$78-$S89+1-$B$22),0)*$U89*P$79</f>
        <v>0</v>
      </c>
      <c r="Q89" s="22" t="n">
        <f aca="false">IF(AND(Q$78-$S89+1-$B$22&gt;=1,Q$78-$S89+1-$B$22&lt;=8),INDEX($C$27:$J$27,1,Q$78-$S89+1-$B$22),0)*$U89*Q$79</f>
        <v>0</v>
      </c>
      <c r="S89" s="23" t="n">
        <f aca="false">$B$20+2</f>
        <v>2029</v>
      </c>
      <c r="T89" s="22" t="n">
        <f aca="false">IF($S89&gt;$B$20+Scenarios!$D$8-1,0,$B$19*(1+$B$21*Scenarios!$D$7)^2)</f>
        <v>106090</v>
      </c>
      <c r="U89" s="24" t="n">
        <f aca="false">IFERROR($T89/INDEX($C$79:$Q$79,1,MATCH($S89,$C$78:$Q$78,0)),0)</f>
        <v>481.116898663058</v>
      </c>
      <c r="V89" s="24" t="n">
        <f aca="false">SUMPRODUCT(($C$25:$J$25&lt;=$Q$78-$S89+1-$B$22)*$C$27:$J$27)*$U89</f>
        <v>481.116898663058</v>
      </c>
      <c r="W89" s="24" t="n">
        <f aca="false">$U89-$V89</f>
        <v>0</v>
      </c>
    </row>
    <row r="90" customFormat="false" ht="15" hidden="false" customHeight="false" outlineLevel="0" collapsed="false">
      <c r="A90" s="2" t="s">
        <v>117</v>
      </c>
      <c r="C90" s="22" t="n">
        <f aca="false">IF(AND(C$78-$S90+1-$B$22&gt;=1,C$78-$S90+1-$B$22&lt;=8),INDEX($C$27:$J$27,1,C$78-$S90+1-$B$22),0)*$U90*C$79</f>
        <v>0</v>
      </c>
      <c r="D90" s="22" t="n">
        <f aca="false">IF(AND(D$78-$S90+1-$B$22&gt;=1,D$78-$S90+1-$B$22&lt;=8),INDEX($C$27:$J$27,1,D$78-$S90+1-$B$22),0)*$U90*D$79</f>
        <v>0</v>
      </c>
      <c r="E90" s="22" t="n">
        <f aca="false">IF(AND(E$78-$S90+1-$B$22&gt;=1,E$78-$S90+1-$B$22&lt;=8),INDEX($C$27:$J$27,1,E$78-$S90+1-$B$22),0)*$U90*E$79</f>
        <v>0</v>
      </c>
      <c r="F90" s="22" t="n">
        <f aca="false">IF(AND(F$78-$S90+1-$B$22&gt;=1,F$78-$S90+1-$B$22&lt;=8),INDEX($C$27:$J$27,1,F$78-$S90+1-$B$22),0)*$U90*F$79</f>
        <v>0</v>
      </c>
      <c r="G90" s="22" t="n">
        <f aca="false">IF(AND(G$78-$S90+1-$B$22&gt;=1,G$78-$S90+1-$B$22&lt;=8),INDEX($C$27:$J$27,1,G$78-$S90+1-$B$22),0)*$U90*G$79</f>
        <v>0</v>
      </c>
      <c r="H90" s="22" t="n">
        <f aca="false">IF(AND(H$78-$S90+1-$B$22&gt;=1,H$78-$S90+1-$B$22&lt;=8),INDEX($C$27:$J$27,1,H$78-$S90+1-$B$22),0)*$U90*H$79</f>
        <v>23384.3578</v>
      </c>
      <c r="I90" s="22" t="n">
        <f aca="false">IF(AND(I$78-$S90+1-$B$22&gt;=1,I$78-$S90+1-$B$22&lt;=8),INDEX($C$27:$J$27,1,I$78-$S90+1-$B$22),0)*$U90*I$79</f>
        <v>25021.262846</v>
      </c>
      <c r="J90" s="22" t="n">
        <f aca="false">IF(AND(J$78-$S90+1-$B$22&gt;=1,J$78-$S90+1-$B$22&lt;=8),INDEX($C$27:$J$27,1,J$78-$S90+1-$B$22),0)*$U90*J$79</f>
        <v>26772.75124522</v>
      </c>
      <c r="K90" s="22" t="n">
        <f aca="false">IF(AND(K$78-$S90+1-$B$22&gt;=1,K$78-$S90+1-$B$22&lt;=8),INDEX($C$27:$J$27,1,K$78-$S90+1-$B$22),0)*$U90*K$79</f>
        <v>28646.8438323854</v>
      </c>
      <c r="L90" s="22" t="n">
        <f aca="false">IF(AND(L$78-$S90+1-$B$22&gt;=1,L$78-$S90+1-$B$22&lt;=8),INDEX($C$27:$J$27,1,L$78-$S90+1-$B$22),0)*$U90*L$79</f>
        <v>30652.1229006524</v>
      </c>
      <c r="M90" s="22" t="n">
        <f aca="false">IF(AND(M$78-$S90+1-$B$22&gt;=1,M$78-$S90+1-$B$22&lt;=8),INDEX($C$27:$J$27,1,M$78-$S90+1-$B$22),0)*$U90*M$79</f>
        <v>0</v>
      </c>
      <c r="N90" s="22" t="n">
        <f aca="false">IF(AND(N$78-$S90+1-$B$22&gt;=1,N$78-$S90+1-$B$22&lt;=8),INDEX($C$27:$J$27,1,N$78-$S90+1-$B$22),0)*$U90*N$79</f>
        <v>0</v>
      </c>
      <c r="O90" s="22" t="n">
        <f aca="false">IF(AND(O$78-$S90+1-$B$22&gt;=1,O$78-$S90+1-$B$22&lt;=8),INDEX($C$27:$J$27,1,O$78-$S90+1-$B$22),0)*$U90*O$79</f>
        <v>0</v>
      </c>
      <c r="P90" s="22" t="n">
        <f aca="false">IF(AND(P$78-$S90+1-$B$22&gt;=1,P$78-$S90+1-$B$22&lt;=8),INDEX($C$27:$J$27,1,P$78-$S90+1-$B$22),0)*$U90*P$79</f>
        <v>0</v>
      </c>
      <c r="Q90" s="22" t="n">
        <f aca="false">IF(AND(Q$78-$S90+1-$B$22&gt;=1,Q$78-$S90+1-$B$22&lt;=8),INDEX($C$27:$J$27,1,Q$78-$S90+1-$B$22),0)*$U90*Q$79</f>
        <v>0</v>
      </c>
      <c r="S90" s="23" t="n">
        <f aca="false">$B$20+3</f>
        <v>2030</v>
      </c>
      <c r="T90" s="22" t="n">
        <f aca="false">IF($S90&gt;$B$20+Scenarios!$D$8-1,0,$B$19*(1+$B$21*Scenarios!$D$7)^3)</f>
        <v>109272.7</v>
      </c>
      <c r="U90" s="24" t="n">
        <f aca="false">IFERROR($T90/INDEX($C$79:$Q$79,1,MATCH($S90,$C$78:$Q$78,0)),0)</f>
        <v>463.131220208364</v>
      </c>
      <c r="V90" s="24" t="n">
        <f aca="false">SUMPRODUCT(($C$25:$J$25&lt;=$Q$78-$S90+1-$B$22)*$C$27:$J$27)*$U90</f>
        <v>463.131220208364</v>
      </c>
      <c r="W90" s="24" t="n">
        <f aca="false">$U90-$V90</f>
        <v>0</v>
      </c>
    </row>
    <row r="91" customFormat="false" ht="15" hidden="false" customHeight="false" outlineLevel="0" collapsed="false">
      <c r="A91" s="2" t="s">
        <v>118</v>
      </c>
      <c r="C91" s="22" t="n">
        <f aca="false">IF(AND(C$78-$S91+1-$B$22&gt;=1,C$78-$S91+1-$B$22&lt;=8),INDEX($C$27:$J$27,1,C$78-$S91+1-$B$22),0)*$U91*C$79</f>
        <v>0</v>
      </c>
      <c r="D91" s="22" t="n">
        <f aca="false">IF(AND(D$78-$S91+1-$B$22&gt;=1,D$78-$S91+1-$B$22&lt;=8),INDEX($C$27:$J$27,1,D$78-$S91+1-$B$22),0)*$U91*D$79</f>
        <v>0</v>
      </c>
      <c r="E91" s="22" t="n">
        <f aca="false">IF(AND(E$78-$S91+1-$B$22&gt;=1,E$78-$S91+1-$B$22&lt;=8),INDEX($C$27:$J$27,1,E$78-$S91+1-$B$22),0)*$U91*E$79</f>
        <v>0</v>
      </c>
      <c r="F91" s="22" t="n">
        <f aca="false">IF(AND(F$78-$S91+1-$B$22&gt;=1,F$78-$S91+1-$B$22&lt;=8),INDEX($C$27:$J$27,1,F$78-$S91+1-$B$22),0)*$U91*F$79</f>
        <v>0</v>
      </c>
      <c r="G91" s="22" t="n">
        <f aca="false">IF(AND(G$78-$S91+1-$B$22&gt;=1,G$78-$S91+1-$B$22&lt;=8),INDEX($C$27:$J$27,1,G$78-$S91+1-$B$22),0)*$U91*G$79</f>
        <v>0</v>
      </c>
      <c r="H91" s="22" t="n">
        <f aca="false">IF(AND(H$78-$S91+1-$B$22&gt;=1,H$78-$S91+1-$B$22&lt;=8),INDEX($C$27:$J$27,1,H$78-$S91+1-$B$22),0)*$U91*H$79</f>
        <v>0</v>
      </c>
      <c r="I91" s="22" t="n">
        <f aca="false">IF(AND(I$78-$S91+1-$B$22&gt;=1,I$78-$S91+1-$B$22&lt;=8),INDEX($C$27:$J$27,1,I$78-$S91+1-$B$22),0)*$U91*I$79</f>
        <v>24085.888534</v>
      </c>
      <c r="J91" s="22" t="n">
        <f aca="false">IF(AND(J$78-$S91+1-$B$22&gt;=1,J$78-$S91+1-$B$22&lt;=8),INDEX($C$27:$J$27,1,J$78-$S91+1-$B$22),0)*$U91*J$79</f>
        <v>25771.90073138</v>
      </c>
      <c r="K91" s="22" t="n">
        <f aca="false">IF(AND(K$78-$S91+1-$B$22&gt;=1,K$78-$S91+1-$B$22&lt;=8),INDEX($C$27:$J$27,1,K$78-$S91+1-$B$22),0)*$U91*K$79</f>
        <v>27575.9337825766</v>
      </c>
      <c r="L91" s="22" t="n">
        <f aca="false">IF(AND(L$78-$S91+1-$B$22&gt;=1,L$78-$S91+1-$B$22&lt;=8),INDEX($C$27:$J$27,1,L$78-$S91+1-$B$22),0)*$U91*L$79</f>
        <v>29506.249147357</v>
      </c>
      <c r="M91" s="22" t="n">
        <f aca="false">IF(AND(M$78-$S91+1-$B$22&gt;=1,M$78-$S91+1-$B$22&lt;=8),INDEX($C$27:$J$27,1,M$78-$S91+1-$B$22),0)*$U91*M$79</f>
        <v>31571.686587672</v>
      </c>
      <c r="N91" s="22" t="n">
        <f aca="false">IF(AND(N$78-$S91+1-$B$22&gt;=1,N$78-$S91+1-$B$22&lt;=8),INDEX($C$27:$J$27,1,N$78-$S91+1-$B$22),0)*$U91*N$79</f>
        <v>0</v>
      </c>
      <c r="O91" s="22" t="n">
        <f aca="false">IF(AND(O$78-$S91+1-$B$22&gt;=1,O$78-$S91+1-$B$22&lt;=8),INDEX($C$27:$J$27,1,O$78-$S91+1-$B$22),0)*$U91*O$79</f>
        <v>0</v>
      </c>
      <c r="P91" s="22" t="n">
        <f aca="false">IF(AND(P$78-$S91+1-$B$22&gt;=1,P$78-$S91+1-$B$22&lt;=8),INDEX($C$27:$J$27,1,P$78-$S91+1-$B$22),0)*$U91*P$79</f>
        <v>0</v>
      </c>
      <c r="Q91" s="22" t="n">
        <f aca="false">IF(AND(Q$78-$S91+1-$B$22&gt;=1,Q$78-$S91+1-$B$22&lt;=8),INDEX($C$27:$J$27,1,Q$78-$S91+1-$B$22),0)*$U91*Q$79</f>
        <v>0</v>
      </c>
      <c r="S91" s="23" t="n">
        <f aca="false">$B$20+4</f>
        <v>2031</v>
      </c>
      <c r="T91" s="22" t="n">
        <f aca="false">IF($S91&gt;$B$20+Scenarios!$D$8-1,0,$B$19*(1+$B$21*Scenarios!$D$7)^4)</f>
        <v>112550.881</v>
      </c>
      <c r="U91" s="24" t="n">
        <f aca="false">IFERROR($T91/INDEX($C$79:$Q$79,1,MATCH($S91,$C$78:$Q$78,0)),0)</f>
        <v>445.817903565061</v>
      </c>
      <c r="V91" s="24" t="n">
        <f aca="false">SUMPRODUCT(($C$25:$J$25&lt;=$Q$78-$S91+1-$B$22)*$C$27:$J$27)*$U91</f>
        <v>445.817903565061</v>
      </c>
      <c r="W91" s="24" t="n">
        <f aca="false">$U91-$V91</f>
        <v>0</v>
      </c>
    </row>
    <row r="92" customFormat="false" ht="15" hidden="false" customHeight="false" outlineLevel="0" collapsed="false">
      <c r="A92" s="2" t="s">
        <v>119</v>
      </c>
      <c r="C92" s="22" t="n">
        <f aca="false">IF(AND(C$78-$S92+1-$B$22&gt;=1,C$78-$S92+1-$B$22&lt;=8),INDEX($C$27:$J$27,1,C$78-$S92+1-$B$22),0)*$U92*C$79</f>
        <v>0</v>
      </c>
      <c r="D92" s="22" t="n">
        <f aca="false">IF(AND(D$78-$S92+1-$B$22&gt;=1,D$78-$S92+1-$B$22&lt;=8),INDEX($C$27:$J$27,1,D$78-$S92+1-$B$22),0)*$U92*D$79</f>
        <v>0</v>
      </c>
      <c r="E92" s="22" t="n">
        <f aca="false">IF(AND(E$78-$S92+1-$B$22&gt;=1,E$78-$S92+1-$B$22&lt;=8),INDEX($C$27:$J$27,1,E$78-$S92+1-$B$22),0)*$U92*E$79</f>
        <v>0</v>
      </c>
      <c r="F92" s="22" t="n">
        <f aca="false">IF(AND(F$78-$S92+1-$B$22&gt;=1,F$78-$S92+1-$B$22&lt;=8),INDEX($C$27:$J$27,1,F$78-$S92+1-$B$22),0)*$U92*F$79</f>
        <v>0</v>
      </c>
      <c r="G92" s="22" t="n">
        <f aca="false">IF(AND(G$78-$S92+1-$B$22&gt;=1,G$78-$S92+1-$B$22&lt;=8),INDEX($C$27:$J$27,1,G$78-$S92+1-$B$22),0)*$U92*G$79</f>
        <v>0</v>
      </c>
      <c r="H92" s="22" t="n">
        <f aca="false">IF(AND(H$78-$S92+1-$B$22&gt;=1,H$78-$S92+1-$B$22&lt;=8),INDEX($C$27:$J$27,1,H$78-$S92+1-$B$22),0)*$U92*H$79</f>
        <v>0</v>
      </c>
      <c r="I92" s="22" t="n">
        <f aca="false">IF(AND(I$78-$S92+1-$B$22&gt;=1,I$78-$S92+1-$B$22&lt;=8),INDEX($C$27:$J$27,1,I$78-$S92+1-$B$22),0)*$U92*I$79</f>
        <v>0</v>
      </c>
      <c r="J92" s="22" t="n">
        <f aca="false">IF(AND(J$78-$S92+1-$B$22&gt;=1,J$78-$S92+1-$B$22&lt;=8),INDEX($C$27:$J$27,1,J$78-$S92+1-$B$22),0)*$U92*J$79</f>
        <v>24808.46519002</v>
      </c>
      <c r="K92" s="22" t="n">
        <f aca="false">IF(AND(K$78-$S92+1-$B$22&gt;=1,K$78-$S92+1-$B$22&lt;=8),INDEX($C$27:$J$27,1,K$78-$S92+1-$B$22),0)*$U92*K$79</f>
        <v>26545.0577533214</v>
      </c>
      <c r="L92" s="22" t="n">
        <f aca="false">IF(AND(L$78-$S92+1-$B$22&gt;=1,L$78-$S92+1-$B$22&lt;=8),INDEX($C$27:$J$27,1,L$78-$S92+1-$B$22),0)*$U92*L$79</f>
        <v>28403.2117960539</v>
      </c>
      <c r="M92" s="22" t="n">
        <f aca="false">IF(AND(M$78-$S92+1-$B$22&gt;=1,M$78-$S92+1-$B$22&lt;=8),INDEX($C$27:$J$27,1,M$78-$S92+1-$B$22),0)*$U92*M$79</f>
        <v>30391.4366217777</v>
      </c>
      <c r="N92" s="22" t="n">
        <f aca="false">IF(AND(N$78-$S92+1-$B$22&gt;=1,N$78-$S92+1-$B$22&lt;=8),INDEX($C$27:$J$27,1,N$78-$S92+1-$B$22),0)*$U92*N$79</f>
        <v>32518.8371853021</v>
      </c>
      <c r="O92" s="22" t="n">
        <f aca="false">IF(AND(O$78-$S92+1-$B$22&gt;=1,O$78-$S92+1-$B$22&lt;=8),INDEX($C$27:$J$27,1,O$78-$S92+1-$B$22),0)*$U92*O$79</f>
        <v>0</v>
      </c>
      <c r="P92" s="22" t="n">
        <f aca="false">IF(AND(P$78-$S92+1-$B$22&gt;=1,P$78-$S92+1-$B$22&lt;=8),INDEX($C$27:$J$27,1,P$78-$S92+1-$B$22),0)*$U92*P$79</f>
        <v>0</v>
      </c>
      <c r="Q92" s="22" t="n">
        <f aca="false">IF(AND(Q$78-$S92+1-$B$22&gt;=1,Q$78-$S92+1-$B$22&lt;=8),INDEX($C$27:$J$27,1,Q$78-$S92+1-$B$22),0)*$U92*Q$79</f>
        <v>0</v>
      </c>
      <c r="S92" s="23" t="n">
        <f aca="false">$B$20+5</f>
        <v>2032</v>
      </c>
      <c r="T92" s="22" t="n">
        <f aca="false">IF($S92&gt;$B$20+Scenarios!$D$8-1,0,$B$19*(1+$B$21*Scenarios!$D$7)^5)</f>
        <v>115927.40743</v>
      </c>
      <c r="U92" s="24" t="n">
        <f aca="false">IFERROR($T92/INDEX($C$79:$Q$79,1,MATCH($S92,$C$78:$Q$78,0)),0)</f>
        <v>429.151813712161</v>
      </c>
      <c r="V92" s="24" t="n">
        <f aca="false">SUMPRODUCT(($C$25:$J$25&lt;=$Q$78-$S92+1-$B$22)*$C$27:$J$27)*$U92</f>
        <v>429.151813712161</v>
      </c>
      <c r="W92" s="24" t="n">
        <f aca="false">$U92-$V92</f>
        <v>0</v>
      </c>
    </row>
    <row r="93" customFormat="false" ht="15" hidden="false" customHeight="false" outlineLevel="0" collapsed="false">
      <c r="A93" s="2" t="s">
        <v>120</v>
      </c>
      <c r="C93" s="22" t="n">
        <f aca="false">IF(AND(C$78-$S93+1-$B$22&gt;=1,C$78-$S93+1-$B$22&lt;=8),INDEX($C$27:$J$27,1,C$78-$S93+1-$B$22),0)*$U93*C$79</f>
        <v>0</v>
      </c>
      <c r="D93" s="22" t="n">
        <f aca="false">IF(AND(D$78-$S93+1-$B$22&gt;=1,D$78-$S93+1-$B$22&lt;=8),INDEX($C$27:$J$27,1,D$78-$S93+1-$B$22),0)*$U93*D$79</f>
        <v>0</v>
      </c>
      <c r="E93" s="22" t="n">
        <f aca="false">IF(AND(E$78-$S93+1-$B$22&gt;=1,E$78-$S93+1-$B$22&lt;=8),INDEX($C$27:$J$27,1,E$78-$S93+1-$B$22),0)*$U93*E$79</f>
        <v>0</v>
      </c>
      <c r="F93" s="22" t="n">
        <f aca="false">IF(AND(F$78-$S93+1-$B$22&gt;=1,F$78-$S93+1-$B$22&lt;=8),INDEX($C$27:$J$27,1,F$78-$S93+1-$B$22),0)*$U93*F$79</f>
        <v>0</v>
      </c>
      <c r="G93" s="22" t="n">
        <f aca="false">IF(AND(G$78-$S93+1-$B$22&gt;=1,G$78-$S93+1-$B$22&lt;=8),INDEX($C$27:$J$27,1,G$78-$S93+1-$B$22),0)*$U93*G$79</f>
        <v>0</v>
      </c>
      <c r="H93" s="22" t="n">
        <f aca="false">IF(AND(H$78-$S93+1-$B$22&gt;=1,H$78-$S93+1-$B$22&lt;=8),INDEX($C$27:$J$27,1,H$78-$S93+1-$B$22),0)*$U93*H$79</f>
        <v>0</v>
      </c>
      <c r="I93" s="22" t="n">
        <f aca="false">IF(AND(I$78-$S93+1-$B$22&gt;=1,I$78-$S93+1-$B$22&lt;=8),INDEX($C$27:$J$27,1,I$78-$S93+1-$B$22),0)*$U93*I$79</f>
        <v>0</v>
      </c>
      <c r="J93" s="22" t="n">
        <f aca="false">IF(AND(J$78-$S93+1-$B$22&gt;=1,J$78-$S93+1-$B$22&lt;=8),INDEX($C$27:$J$27,1,J$78-$S93+1-$B$22),0)*$U93*J$79</f>
        <v>0</v>
      </c>
      <c r="K93" s="22" t="n">
        <f aca="false">IF(AND(K$78-$S93+1-$B$22&gt;=1,K$78-$S93+1-$B$22&lt;=8),INDEX($C$27:$J$27,1,K$78-$S93+1-$B$22),0)*$U93*K$79</f>
        <v>25552.7191457206</v>
      </c>
      <c r="L93" s="22" t="n">
        <f aca="false">IF(AND(L$78-$S93+1-$B$22&gt;=1,L$78-$S93+1-$B$22&lt;=8),INDEX($C$27:$J$27,1,L$78-$S93+1-$B$22),0)*$U93*L$79</f>
        <v>27341.4094859211</v>
      </c>
      <c r="M93" s="22" t="n">
        <f aca="false">IF(AND(M$78-$S93+1-$B$22&gt;=1,M$78-$S93+1-$B$22&lt;=8),INDEX($C$27:$J$27,1,M$78-$S93+1-$B$22),0)*$U93*M$79</f>
        <v>29255.3081499355</v>
      </c>
      <c r="N93" s="22" t="n">
        <f aca="false">IF(AND(N$78-$S93+1-$B$22&gt;=1,N$78-$S93+1-$B$22&lt;=8),INDEX($C$27:$J$27,1,N$78-$S93+1-$B$22),0)*$U93*N$79</f>
        <v>31303.179720431</v>
      </c>
      <c r="O93" s="22" t="n">
        <f aca="false">IF(AND(O$78-$S93+1-$B$22&gt;=1,O$78-$S93+1-$B$22&lt;=8),INDEX($C$27:$J$27,1,O$78-$S93+1-$B$22),0)*$U93*O$79</f>
        <v>33494.4023008612</v>
      </c>
      <c r="P93" s="22" t="n">
        <f aca="false">IF(AND(P$78-$S93+1-$B$22&gt;=1,P$78-$S93+1-$B$22&lt;=8),INDEX($C$27:$J$27,1,P$78-$S93+1-$B$22),0)*$U93*P$79</f>
        <v>0</v>
      </c>
      <c r="Q93" s="22" t="n">
        <f aca="false">IF(AND(Q$78-$S93+1-$B$22&gt;=1,Q$78-$S93+1-$B$22&lt;=8),INDEX($C$27:$J$27,1,Q$78-$S93+1-$B$22),0)*$U93*Q$79</f>
        <v>0</v>
      </c>
      <c r="S93" s="23" t="n">
        <f aca="false">$B$20+6</f>
        <v>2033</v>
      </c>
      <c r="T93" s="22" t="n">
        <f aca="false">IF($S93&gt;$B$20+Scenarios!$D$8-1,0,$B$19*(1+$B$21*Scenarios!$D$7)^6)</f>
        <v>119405.2296529</v>
      </c>
      <c r="U93" s="24" t="n">
        <f aca="false">IFERROR($T93/INDEX($C$79:$Q$79,1,MATCH($S93,$C$78:$Q$78,0)),0)</f>
        <v>413.108755255632</v>
      </c>
      <c r="V93" s="24" t="n">
        <f aca="false">SUMPRODUCT(($C$25:$J$25&lt;=$Q$78-$S93+1-$B$22)*$C$27:$J$27)*$U93</f>
        <v>413.108755255632</v>
      </c>
      <c r="W93" s="24" t="n">
        <f aca="false">$U93-$V93</f>
        <v>0</v>
      </c>
    </row>
    <row r="94" customFormat="false" ht="15" hidden="false" customHeight="false" outlineLevel="0" collapsed="false">
      <c r="A94" s="2" t="s">
        <v>121</v>
      </c>
      <c r="C94" s="22" t="n">
        <f aca="false">IF(AND(C$78-$S94+1-$B$22&gt;=1,C$78-$S94+1-$B$22&lt;=8),INDEX($C$27:$J$27,1,C$78-$S94+1-$B$22),0)*$U94*C$79</f>
        <v>0</v>
      </c>
      <c r="D94" s="22" t="n">
        <f aca="false">IF(AND(D$78-$S94+1-$B$22&gt;=1,D$78-$S94+1-$B$22&lt;=8),INDEX($C$27:$J$27,1,D$78-$S94+1-$B$22),0)*$U94*D$79</f>
        <v>0</v>
      </c>
      <c r="E94" s="22" t="n">
        <f aca="false">IF(AND(E$78-$S94+1-$B$22&gt;=1,E$78-$S94+1-$B$22&lt;=8),INDEX($C$27:$J$27,1,E$78-$S94+1-$B$22),0)*$U94*E$79</f>
        <v>0</v>
      </c>
      <c r="F94" s="22" t="n">
        <f aca="false">IF(AND(F$78-$S94+1-$B$22&gt;=1,F$78-$S94+1-$B$22&lt;=8),INDEX($C$27:$J$27,1,F$78-$S94+1-$B$22),0)*$U94*F$79</f>
        <v>0</v>
      </c>
      <c r="G94" s="22" t="n">
        <f aca="false">IF(AND(G$78-$S94+1-$B$22&gt;=1,G$78-$S94+1-$B$22&lt;=8),INDEX($C$27:$J$27,1,G$78-$S94+1-$B$22),0)*$U94*G$79</f>
        <v>0</v>
      </c>
      <c r="H94" s="22" t="n">
        <f aca="false">IF(AND(H$78-$S94+1-$B$22&gt;=1,H$78-$S94+1-$B$22&lt;=8),INDEX($C$27:$J$27,1,H$78-$S94+1-$B$22),0)*$U94*H$79</f>
        <v>0</v>
      </c>
      <c r="I94" s="22" t="n">
        <f aca="false">IF(AND(I$78-$S94+1-$B$22&gt;=1,I$78-$S94+1-$B$22&lt;=8),INDEX($C$27:$J$27,1,I$78-$S94+1-$B$22),0)*$U94*I$79</f>
        <v>0</v>
      </c>
      <c r="J94" s="22" t="n">
        <f aca="false">IF(AND(J$78-$S94+1-$B$22&gt;=1,J$78-$S94+1-$B$22&lt;=8),INDEX($C$27:$J$27,1,J$78-$S94+1-$B$22),0)*$U94*J$79</f>
        <v>0</v>
      </c>
      <c r="K94" s="22" t="n">
        <f aca="false">IF(AND(K$78-$S94+1-$B$22&gt;=1,K$78-$S94+1-$B$22&lt;=8),INDEX($C$27:$J$27,1,K$78-$S94+1-$B$22),0)*$U94*K$79</f>
        <v>0</v>
      </c>
      <c r="L94" s="22" t="n">
        <f aca="false">IF(AND(L$78-$S94+1-$B$22&gt;=1,L$78-$S94+1-$B$22&lt;=8),INDEX($C$27:$J$27,1,L$78-$S94+1-$B$22),0)*$U94*L$79</f>
        <v>26319.3007200922</v>
      </c>
      <c r="M94" s="22" t="n">
        <f aca="false">IF(AND(M$78-$S94+1-$B$22&gt;=1,M$78-$S94+1-$B$22&lt;=8),INDEX($C$27:$J$27,1,M$78-$S94+1-$B$22),0)*$U94*M$79</f>
        <v>28161.6517704987</v>
      </c>
      <c r="N94" s="22" t="n">
        <f aca="false">IF(AND(N$78-$S94+1-$B$22&gt;=1,N$78-$S94+1-$B$22&lt;=8),INDEX($C$27:$J$27,1,N$78-$S94+1-$B$22),0)*$U94*N$79</f>
        <v>30132.9673944336</v>
      </c>
      <c r="O94" s="22" t="n">
        <f aca="false">IF(AND(O$78-$S94+1-$B$22&gt;=1,O$78-$S94+1-$B$22&lt;=8),INDEX($C$27:$J$27,1,O$78-$S94+1-$B$22),0)*$U94*O$79</f>
        <v>32242.275112044</v>
      </c>
      <c r="P94" s="22" t="n">
        <f aca="false">IF(AND(P$78-$S94+1-$B$22&gt;=1,P$78-$S94+1-$B$22&lt;=8),INDEX($C$27:$J$27,1,P$78-$S94+1-$B$22),0)*$U94*P$79</f>
        <v>34499.234369887</v>
      </c>
      <c r="Q94" s="22" t="n">
        <f aca="false">IF(AND(Q$78-$S94+1-$B$22&gt;=1,Q$78-$S94+1-$B$22&lt;=8),INDEX($C$27:$J$27,1,Q$78-$S94+1-$B$22),0)*$U94*Q$79</f>
        <v>0</v>
      </c>
      <c r="S94" s="23" t="n">
        <f aca="false">$B$20+7</f>
        <v>2034</v>
      </c>
      <c r="T94" s="22" t="n">
        <f aca="false">IF($S94&gt;$B$20+Scenarios!$D$8-1,0,$B$19*(1+$B$21*Scenarios!$D$7)^7)</f>
        <v>122987.386542487</v>
      </c>
      <c r="U94" s="24" t="n">
        <f aca="false">IFERROR($T94/INDEX($C$79:$Q$79,1,MATCH($S94,$C$78:$Q$78,0)),0)</f>
        <v>397.66543730215</v>
      </c>
      <c r="V94" s="24" t="n">
        <f aca="false">SUMPRODUCT(($C$25:$J$25&lt;=$Q$78-$S94+1-$B$22)*$C$27:$J$27)*$U94</f>
        <v>397.66543730215</v>
      </c>
      <c r="W94" s="24" t="n">
        <f aca="false">$U94-$V94</f>
        <v>0</v>
      </c>
    </row>
    <row r="95" customFormat="false" ht="15" hidden="false" customHeight="false" outlineLevel="0" collapsed="false">
      <c r="A95" s="2" t="s">
        <v>122</v>
      </c>
      <c r="C95" s="22" t="n">
        <f aca="false">IF(AND(C$78-$S95+1-$B$22&gt;=1,C$78-$S95+1-$B$22&lt;=8),INDEX($C$27:$J$27,1,C$78-$S95+1-$B$22),0)*$U95*C$79</f>
        <v>0</v>
      </c>
      <c r="D95" s="22" t="n">
        <f aca="false">IF(AND(D$78-$S95+1-$B$22&gt;=1,D$78-$S95+1-$B$22&lt;=8),INDEX($C$27:$J$27,1,D$78-$S95+1-$B$22),0)*$U95*D$79</f>
        <v>0</v>
      </c>
      <c r="E95" s="22" t="n">
        <f aca="false">IF(AND(E$78-$S95+1-$B$22&gt;=1,E$78-$S95+1-$B$22&lt;=8),INDEX($C$27:$J$27,1,E$78-$S95+1-$B$22),0)*$U95*E$79</f>
        <v>0</v>
      </c>
      <c r="F95" s="22" t="n">
        <f aca="false">IF(AND(F$78-$S95+1-$B$22&gt;=1,F$78-$S95+1-$B$22&lt;=8),INDEX($C$27:$J$27,1,F$78-$S95+1-$B$22),0)*$U95*F$79</f>
        <v>0</v>
      </c>
      <c r="G95" s="22" t="n">
        <f aca="false">IF(AND(G$78-$S95+1-$B$22&gt;=1,G$78-$S95+1-$B$22&lt;=8),INDEX($C$27:$J$27,1,G$78-$S95+1-$B$22),0)*$U95*G$79</f>
        <v>0</v>
      </c>
      <c r="H95" s="22" t="n">
        <f aca="false">IF(AND(H$78-$S95+1-$B$22&gt;=1,H$78-$S95+1-$B$22&lt;=8),INDEX($C$27:$J$27,1,H$78-$S95+1-$B$22),0)*$U95*H$79</f>
        <v>0</v>
      </c>
      <c r="I95" s="22" t="n">
        <f aca="false">IF(AND(I$78-$S95+1-$B$22&gt;=1,I$78-$S95+1-$B$22&lt;=8),INDEX($C$27:$J$27,1,I$78-$S95+1-$B$22),0)*$U95*I$79</f>
        <v>0</v>
      </c>
      <c r="J95" s="22" t="n">
        <f aca="false">IF(AND(J$78-$S95+1-$B$22&gt;=1,J$78-$S95+1-$B$22&lt;=8),INDEX($C$27:$J$27,1,J$78-$S95+1-$B$22),0)*$U95*J$79</f>
        <v>0</v>
      </c>
      <c r="K95" s="22" t="n">
        <f aca="false">IF(AND(K$78-$S95+1-$B$22&gt;=1,K$78-$S95+1-$B$22&lt;=8),INDEX($C$27:$J$27,1,K$78-$S95+1-$B$22),0)*$U95*K$79</f>
        <v>0</v>
      </c>
      <c r="L95" s="22" t="n">
        <f aca="false">IF(AND(L$78-$S95+1-$B$22&gt;=1,L$78-$S95+1-$B$22&lt;=8),INDEX($C$27:$J$27,1,L$78-$S95+1-$B$22),0)*$U95*L$79</f>
        <v>0</v>
      </c>
      <c r="M95" s="22" t="n">
        <f aca="false">IF(AND(M$78-$S95+1-$B$22&gt;=1,M$78-$S95+1-$B$22&lt;=8),INDEX($C$27:$J$27,1,M$78-$S95+1-$B$22),0)*$U95*M$79</f>
        <v>27108.879741695</v>
      </c>
      <c r="N95" s="22" t="n">
        <f aca="false">IF(AND(N$78-$S95+1-$B$22&gt;=1,N$78-$S95+1-$B$22&lt;=8),INDEX($C$27:$J$27,1,N$78-$S95+1-$B$22),0)*$U95*N$79</f>
        <v>29006.5013236136</v>
      </c>
      <c r="O95" s="22" t="n">
        <f aca="false">IF(AND(O$78-$S95+1-$B$22&gt;=1,O$78-$S95+1-$B$22&lt;=8),INDEX($C$27:$J$27,1,O$78-$S95+1-$B$22),0)*$U95*O$79</f>
        <v>31036.9564162666</v>
      </c>
      <c r="P95" s="22" t="n">
        <f aca="false">IF(AND(P$78-$S95+1-$B$22&gt;=1,P$78-$S95+1-$B$22&lt;=8),INDEX($C$27:$J$27,1,P$78-$S95+1-$B$22),0)*$U95*P$79</f>
        <v>33209.5433654053</v>
      </c>
      <c r="Q95" s="22" t="n">
        <f aca="false">IF(AND(Q$78-$S95+1-$B$22&gt;=1,Q$78-$S95+1-$B$22&lt;=8),INDEX($C$27:$J$27,1,Q$78-$S95+1-$B$22),0)*$U95*Q$79</f>
        <v>35534.2114009836</v>
      </c>
      <c r="S95" s="23" t="n">
        <f aca="false">$B$20+8</f>
        <v>2035</v>
      </c>
      <c r="T95" s="22" t="n">
        <f aca="false">IF($S95&gt;$B$20+Scenarios!$D$8-1,0,$B$19*(1+$B$21*Scenarios!$D$7)^8)</f>
        <v>126677.008138762</v>
      </c>
      <c r="U95" s="24" t="n">
        <f aca="false">IFERROR($T95/INDEX($C$79:$Q$79,1,MATCH($S95,$C$78:$Q$78,0)),0)</f>
        <v>382.799439645995</v>
      </c>
      <c r="V95" s="24" t="n">
        <f aca="false">SUMPRODUCT(($C$25:$J$25&lt;=$Q$78-$S95+1-$B$22)*$C$27:$J$27)*$U95</f>
        <v>382.799439645995</v>
      </c>
      <c r="W95" s="24" t="n">
        <f aca="false">$U95-$V95</f>
        <v>0</v>
      </c>
    </row>
    <row r="96" customFormat="false" ht="15" hidden="false" customHeight="false" outlineLevel="0" collapsed="false">
      <c r="A96" s="2" t="s">
        <v>123</v>
      </c>
      <c r="C96" s="22" t="n">
        <f aca="false">IF(AND(C$78-$S96+1-$B$22&gt;=1,C$78-$S96+1-$B$22&lt;=8),INDEX($C$27:$J$27,1,C$78-$S96+1-$B$22),0)*$U96*C$79</f>
        <v>0</v>
      </c>
      <c r="D96" s="22" t="n">
        <f aca="false">IF(AND(D$78-$S96+1-$B$22&gt;=1,D$78-$S96+1-$B$22&lt;=8),INDEX($C$27:$J$27,1,D$78-$S96+1-$B$22),0)*$U96*D$79</f>
        <v>0</v>
      </c>
      <c r="E96" s="22" t="n">
        <f aca="false">IF(AND(E$78-$S96+1-$B$22&gt;=1,E$78-$S96+1-$B$22&lt;=8),INDEX($C$27:$J$27,1,E$78-$S96+1-$B$22),0)*$U96*E$79</f>
        <v>0</v>
      </c>
      <c r="F96" s="22" t="n">
        <f aca="false">IF(AND(F$78-$S96+1-$B$22&gt;=1,F$78-$S96+1-$B$22&lt;=8),INDEX($C$27:$J$27,1,F$78-$S96+1-$B$22),0)*$U96*F$79</f>
        <v>0</v>
      </c>
      <c r="G96" s="22" t="n">
        <f aca="false">IF(AND(G$78-$S96+1-$B$22&gt;=1,G$78-$S96+1-$B$22&lt;=8),INDEX($C$27:$J$27,1,G$78-$S96+1-$B$22),0)*$U96*G$79</f>
        <v>0</v>
      </c>
      <c r="H96" s="22" t="n">
        <f aca="false">IF(AND(H$78-$S96+1-$B$22&gt;=1,H$78-$S96+1-$B$22&lt;=8),INDEX($C$27:$J$27,1,H$78-$S96+1-$B$22),0)*$U96*H$79</f>
        <v>0</v>
      </c>
      <c r="I96" s="22" t="n">
        <f aca="false">IF(AND(I$78-$S96+1-$B$22&gt;=1,I$78-$S96+1-$B$22&lt;=8),INDEX($C$27:$J$27,1,I$78-$S96+1-$B$22),0)*$U96*I$79</f>
        <v>0</v>
      </c>
      <c r="J96" s="22" t="n">
        <f aca="false">IF(AND(J$78-$S96+1-$B$22&gt;=1,J$78-$S96+1-$B$22&lt;=8),INDEX($C$27:$J$27,1,J$78-$S96+1-$B$22),0)*$U96*J$79</f>
        <v>0</v>
      </c>
      <c r="K96" s="22" t="n">
        <f aca="false">IF(AND(K$78-$S96+1-$B$22&gt;=1,K$78-$S96+1-$B$22&lt;=8),INDEX($C$27:$J$27,1,K$78-$S96+1-$B$22),0)*$U96*K$79</f>
        <v>0</v>
      </c>
      <c r="L96" s="22" t="n">
        <f aca="false">IF(AND(L$78-$S96+1-$B$22&gt;=1,L$78-$S96+1-$B$22&lt;=8),INDEX($C$27:$J$27,1,L$78-$S96+1-$B$22),0)*$U96*L$79</f>
        <v>0</v>
      </c>
      <c r="M96" s="22" t="n">
        <f aca="false">IF(AND(M$78-$S96+1-$B$22&gt;=1,M$78-$S96+1-$B$22&lt;=8),INDEX($C$27:$J$27,1,M$78-$S96+1-$B$22),0)*$U96*M$79</f>
        <v>0</v>
      </c>
      <c r="N96" s="22" t="n">
        <f aca="false">IF(AND(N$78-$S96+1-$B$22&gt;=1,N$78-$S96+1-$B$22&lt;=8),INDEX($C$27:$J$27,1,N$78-$S96+1-$B$22),0)*$U96*N$79</f>
        <v>27922.1461339458</v>
      </c>
      <c r="O96" s="22" t="n">
        <f aca="false">IF(AND(O$78-$S96+1-$B$22&gt;=1,O$78-$S96+1-$B$22&lt;=8),INDEX($C$27:$J$27,1,O$78-$S96+1-$B$22),0)*$U96*O$79</f>
        <v>29876.6963633221</v>
      </c>
      <c r="P96" s="22" t="n">
        <f aca="false">IF(AND(P$78-$S96+1-$B$22&gt;=1,P$78-$S96+1-$B$22&lt;=8),INDEX($C$27:$J$27,1,P$78-$S96+1-$B$22),0)*$U96*P$79</f>
        <v>31968.0651087546</v>
      </c>
      <c r="Q96" s="22" t="n">
        <f aca="false">IF(AND(Q$78-$S96+1-$B$22&gt;=1,Q$78-$S96+1-$B$22&lt;=8),INDEX($C$27:$J$27,1,Q$78-$S96+1-$B$22),0)*$U96*Q$79</f>
        <v>34205.8296663674</v>
      </c>
      <c r="S96" s="23" t="n">
        <f aca="false">$B$20+9</f>
        <v>2036</v>
      </c>
      <c r="T96" s="22" t="n">
        <f aca="false">IF($S96&gt;$B$20+Scenarios!$D$8-1,0,$B$19*(1+$B$21*Scenarios!$D$7)^9)</f>
        <v>130477.318382925</v>
      </c>
      <c r="U96" s="24" t="n">
        <f aca="false">IFERROR($T96/INDEX($C$79:$Q$79,1,MATCH($S96,$C$78:$Q$78,0)),0)</f>
        <v>368.489180219977</v>
      </c>
      <c r="V96" s="24" t="n">
        <f aca="false">SUMPRODUCT(($C$25:$J$25&lt;=$Q$78-$S96+1-$B$22)*$C$27:$J$27)*$U96</f>
        <v>294.791344175981</v>
      </c>
      <c r="W96" s="24" t="n">
        <f aca="false">$U96-$V96</f>
        <v>73.6978360439953</v>
      </c>
    </row>
    <row r="97" customFormat="false" ht="15" hidden="false" customHeight="false" outlineLevel="0" collapsed="false">
      <c r="A97" s="2" t="s">
        <v>124</v>
      </c>
      <c r="C97" s="22" t="n">
        <f aca="false">IF(AND(C$78-$S97+1-$B$22&gt;=1,C$78-$S97+1-$B$22&lt;=8),INDEX($C$27:$J$27,1,C$78-$S97+1-$B$22),0)*$U97*C$79</f>
        <v>0</v>
      </c>
      <c r="D97" s="22" t="n">
        <f aca="false">IF(AND(D$78-$S97+1-$B$22&gt;=1,D$78-$S97+1-$B$22&lt;=8),INDEX($C$27:$J$27,1,D$78-$S97+1-$B$22),0)*$U97*D$79</f>
        <v>0</v>
      </c>
      <c r="E97" s="22" t="n">
        <f aca="false">IF(AND(E$78-$S97+1-$B$22&gt;=1,E$78-$S97+1-$B$22&lt;=8),INDEX($C$27:$J$27,1,E$78-$S97+1-$B$22),0)*$U97*E$79</f>
        <v>0</v>
      </c>
      <c r="F97" s="22" t="n">
        <f aca="false">IF(AND(F$78-$S97+1-$B$22&gt;=1,F$78-$S97+1-$B$22&lt;=8),INDEX($C$27:$J$27,1,F$78-$S97+1-$B$22),0)*$U97*F$79</f>
        <v>0</v>
      </c>
      <c r="G97" s="22" t="n">
        <f aca="false">IF(AND(G$78-$S97+1-$B$22&gt;=1,G$78-$S97+1-$B$22&lt;=8),INDEX($C$27:$J$27,1,G$78-$S97+1-$B$22),0)*$U97*G$79</f>
        <v>0</v>
      </c>
      <c r="H97" s="22" t="n">
        <f aca="false">IF(AND(H$78-$S97+1-$B$22&gt;=1,H$78-$S97+1-$B$22&lt;=8),INDEX($C$27:$J$27,1,H$78-$S97+1-$B$22),0)*$U97*H$79</f>
        <v>0</v>
      </c>
      <c r="I97" s="22" t="n">
        <f aca="false">IF(AND(I$78-$S97+1-$B$22&gt;=1,I$78-$S97+1-$B$22&lt;=8),INDEX($C$27:$J$27,1,I$78-$S97+1-$B$22),0)*$U97*I$79</f>
        <v>0</v>
      </c>
      <c r="J97" s="22" t="n">
        <f aca="false">IF(AND(J$78-$S97+1-$B$22&gt;=1,J$78-$S97+1-$B$22&lt;=8),INDEX($C$27:$J$27,1,J$78-$S97+1-$B$22),0)*$U97*J$79</f>
        <v>0</v>
      </c>
      <c r="K97" s="22" t="n">
        <f aca="false">IF(AND(K$78-$S97+1-$B$22&gt;=1,K$78-$S97+1-$B$22&lt;=8),INDEX($C$27:$J$27,1,K$78-$S97+1-$B$22),0)*$U97*K$79</f>
        <v>0</v>
      </c>
      <c r="L97" s="22" t="n">
        <f aca="false">IF(AND(L$78-$S97+1-$B$22&gt;=1,L$78-$S97+1-$B$22&lt;=8),INDEX($C$27:$J$27,1,L$78-$S97+1-$B$22),0)*$U97*L$79</f>
        <v>0</v>
      </c>
      <c r="M97" s="22" t="n">
        <f aca="false">IF(AND(M$78-$S97+1-$B$22&gt;=1,M$78-$S97+1-$B$22&lt;=8),INDEX($C$27:$J$27,1,M$78-$S97+1-$B$22),0)*$U97*M$79</f>
        <v>0</v>
      </c>
      <c r="N97" s="22" t="n">
        <f aca="false">IF(AND(N$78-$S97+1-$B$22&gt;=1,N$78-$S97+1-$B$22&lt;=8),INDEX($C$27:$J$27,1,N$78-$S97+1-$B$22),0)*$U97*N$79</f>
        <v>0</v>
      </c>
      <c r="O97" s="22" t="n">
        <f aca="false">IF(AND(O$78-$S97+1-$B$22&gt;=1,O$78-$S97+1-$B$22&lt;=8),INDEX($C$27:$J$27,1,O$78-$S97+1-$B$22),0)*$U97*O$79</f>
        <v>28759.8105179642</v>
      </c>
      <c r="P97" s="22" t="n">
        <f aca="false">IF(AND(P$78-$S97+1-$B$22&gt;=1,P$78-$S97+1-$B$22&lt;=8),INDEX($C$27:$J$27,1,P$78-$S97+1-$B$22),0)*$U97*P$79</f>
        <v>30772.9972542217</v>
      </c>
      <c r="Q97" s="22" t="n">
        <f aca="false">IF(AND(Q$78-$S97+1-$B$22&gt;=1,Q$78-$S97+1-$B$22&lt;=8),INDEX($C$27:$J$27,1,Q$78-$S97+1-$B$22),0)*$U97*Q$79</f>
        <v>32927.1070620172</v>
      </c>
      <c r="S97" s="23" t="n">
        <f aca="false">$B$20+10</f>
        <v>2037</v>
      </c>
      <c r="T97" s="22" t="n">
        <f aca="false">IF($S97&gt;$B$20+Scenarios!$D$8-1,0,$B$19*(1+$B$21*Scenarios!$D$7)^10)</f>
        <v>134391.637934412</v>
      </c>
      <c r="U97" s="24" t="n">
        <f aca="false">IFERROR($T97/INDEX($C$79:$Q$79,1,MATCH($S97,$C$78:$Q$78,0)),0)</f>
        <v>354.713883763155</v>
      </c>
      <c r="V97" s="24" t="n">
        <f aca="false">SUMPRODUCT(($C$25:$J$25&lt;=$Q$78-$S97+1-$B$22)*$C$27:$J$27)*$U97</f>
        <v>212.828330257893</v>
      </c>
      <c r="W97" s="24" t="n">
        <f aca="false">$U97-$V97</f>
        <v>141.885553505262</v>
      </c>
    </row>
    <row r="98" customFormat="false" ht="15" hidden="false" customHeight="false" outlineLevel="0" collapsed="false">
      <c r="A98" s="2" t="s">
        <v>125</v>
      </c>
      <c r="C98" s="22" t="n">
        <f aca="false">IF(AND(C$78-$S98+1-$B$22&gt;=1,C$78-$S98+1-$B$22&lt;=8),INDEX($C$27:$J$27,1,C$78-$S98+1-$B$22),0)*$U98*C$79</f>
        <v>0</v>
      </c>
      <c r="D98" s="22" t="n">
        <f aca="false">IF(AND(D$78-$S98+1-$B$22&gt;=1,D$78-$S98+1-$B$22&lt;=8),INDEX($C$27:$J$27,1,D$78-$S98+1-$B$22),0)*$U98*D$79</f>
        <v>0</v>
      </c>
      <c r="E98" s="22" t="n">
        <f aca="false">IF(AND(E$78-$S98+1-$B$22&gt;=1,E$78-$S98+1-$B$22&lt;=8),INDEX($C$27:$J$27,1,E$78-$S98+1-$B$22),0)*$U98*E$79</f>
        <v>0</v>
      </c>
      <c r="F98" s="22" t="n">
        <f aca="false">IF(AND(F$78-$S98+1-$B$22&gt;=1,F$78-$S98+1-$B$22&lt;=8),INDEX($C$27:$J$27,1,F$78-$S98+1-$B$22),0)*$U98*F$79</f>
        <v>0</v>
      </c>
      <c r="G98" s="22" t="n">
        <f aca="false">IF(AND(G$78-$S98+1-$B$22&gt;=1,G$78-$S98+1-$B$22&lt;=8),INDEX($C$27:$J$27,1,G$78-$S98+1-$B$22),0)*$U98*G$79</f>
        <v>0</v>
      </c>
      <c r="H98" s="22" t="n">
        <f aca="false">IF(AND(H$78-$S98+1-$B$22&gt;=1,H$78-$S98+1-$B$22&lt;=8),INDEX($C$27:$J$27,1,H$78-$S98+1-$B$22),0)*$U98*H$79</f>
        <v>0</v>
      </c>
      <c r="I98" s="22" t="n">
        <f aca="false">IF(AND(I$78-$S98+1-$B$22&gt;=1,I$78-$S98+1-$B$22&lt;=8),INDEX($C$27:$J$27,1,I$78-$S98+1-$B$22),0)*$U98*I$79</f>
        <v>0</v>
      </c>
      <c r="J98" s="22" t="n">
        <f aca="false">IF(AND(J$78-$S98+1-$B$22&gt;=1,J$78-$S98+1-$B$22&lt;=8),INDEX($C$27:$J$27,1,J$78-$S98+1-$B$22),0)*$U98*J$79</f>
        <v>0</v>
      </c>
      <c r="K98" s="22" t="n">
        <f aca="false">IF(AND(K$78-$S98+1-$B$22&gt;=1,K$78-$S98+1-$B$22&lt;=8),INDEX($C$27:$J$27,1,K$78-$S98+1-$B$22),0)*$U98*K$79</f>
        <v>0</v>
      </c>
      <c r="L98" s="22" t="n">
        <f aca="false">IF(AND(L$78-$S98+1-$B$22&gt;=1,L$78-$S98+1-$B$22&lt;=8),INDEX($C$27:$J$27,1,L$78-$S98+1-$B$22),0)*$U98*L$79</f>
        <v>0</v>
      </c>
      <c r="M98" s="22" t="n">
        <f aca="false">IF(AND(M$78-$S98+1-$B$22&gt;=1,M$78-$S98+1-$B$22&lt;=8),INDEX($C$27:$J$27,1,M$78-$S98+1-$B$22),0)*$U98*M$79</f>
        <v>0</v>
      </c>
      <c r="N98" s="22" t="n">
        <f aca="false">IF(AND(N$78-$S98+1-$B$22&gt;=1,N$78-$S98+1-$B$22&lt;=8),INDEX($C$27:$J$27,1,N$78-$S98+1-$B$22),0)*$U98*N$79</f>
        <v>0</v>
      </c>
      <c r="O98" s="22" t="n">
        <f aca="false">IF(AND(O$78-$S98+1-$B$22&gt;=1,O$78-$S98+1-$B$22&lt;=8),INDEX($C$27:$J$27,1,O$78-$S98+1-$B$22),0)*$U98*O$79</f>
        <v>0</v>
      </c>
      <c r="P98" s="22" t="n">
        <f aca="false">IF(AND(P$78-$S98+1-$B$22&gt;=1,P$78-$S98+1-$B$22&lt;=8),INDEX($C$27:$J$27,1,P$78-$S98+1-$B$22),0)*$U98*P$79</f>
        <v>29622.6048335032</v>
      </c>
      <c r="Q98" s="22" t="n">
        <f aca="false">IF(AND(Q$78-$S98+1-$B$22&gt;=1,Q$78-$S98+1-$B$22&lt;=8),INDEX($C$27:$J$27,1,Q$78-$S98+1-$B$22),0)*$U98*Q$79</f>
        <v>31696.1871718484</v>
      </c>
      <c r="S98" s="23" t="n">
        <f aca="false">$B$20+11</f>
        <v>2038</v>
      </c>
      <c r="T98" s="22" t="n">
        <f aca="false">IF($S98&gt;$B$20+Scenarios!$D$8-1,0,$B$19*(1+$B$21*Scenarios!$D$7)^11)</f>
        <v>138423.387072445</v>
      </c>
      <c r="U98" s="24" t="n">
        <f aca="false">IFERROR($T98/INDEX($C$79:$Q$79,1,MATCH($S98,$C$78:$Q$78,0)),0)</f>
        <v>341.45355165986</v>
      </c>
      <c r="V98" s="24" t="n">
        <f aca="false">SUMPRODUCT(($C$25:$J$25&lt;=$Q$78-$S98+1-$B$22)*$C$27:$J$27)*$U98</f>
        <v>136.581420663944</v>
      </c>
      <c r="W98" s="24" t="n">
        <f aca="false">$U98-$V98</f>
        <v>204.872130995916</v>
      </c>
    </row>
    <row r="100" customFormat="false" ht="15" hidden="false" customHeight="false" outlineLevel="0" collapsed="false">
      <c r="A100" s="2" t="s">
        <v>126</v>
      </c>
      <c r="C100" s="22" t="n">
        <f aca="false">C86</f>
        <v>0</v>
      </c>
      <c r="D100" s="22" t="n">
        <f aca="false">D86</f>
        <v>107000</v>
      </c>
      <c r="E100" s="22" t="n">
        <f aca="false">E86</f>
        <v>114490</v>
      </c>
      <c r="F100" s="22" t="n">
        <f aca="false">F86</f>
        <v>122504.3</v>
      </c>
      <c r="G100" s="22" t="n">
        <f aca="false">G86</f>
        <v>131079.601</v>
      </c>
      <c r="H100" s="22" t="n">
        <f aca="false">H86</f>
        <v>140255.17307</v>
      </c>
      <c r="I100" s="22" t="n">
        <f aca="false">I86</f>
        <v>0</v>
      </c>
      <c r="J100" s="22" t="n">
        <f aca="false">J86</f>
        <v>0</v>
      </c>
      <c r="K100" s="22" t="n">
        <f aca="false">K86</f>
        <v>0</v>
      </c>
      <c r="L100" s="22" t="n">
        <f aca="false">L86</f>
        <v>0</v>
      </c>
      <c r="M100" s="22" t="n">
        <f aca="false">M86</f>
        <v>0</v>
      </c>
      <c r="N100" s="22" t="n">
        <f aca="false">N86</f>
        <v>0</v>
      </c>
      <c r="O100" s="22" t="n">
        <f aca="false">O86</f>
        <v>0</v>
      </c>
      <c r="P100" s="22" t="n">
        <f aca="false">P86</f>
        <v>0</v>
      </c>
      <c r="Q100" s="22" t="n">
        <f aca="false">Q86</f>
        <v>0</v>
      </c>
    </row>
    <row r="101" customFormat="false" ht="15" hidden="false" customHeight="false" outlineLevel="0" collapsed="false">
      <c r="A101" s="2" t="s">
        <v>127</v>
      </c>
      <c r="C101" s="22" t="n">
        <f aca="false">SUM(C87:C98)</f>
        <v>0</v>
      </c>
      <c r="D101" s="22" t="n">
        <f aca="false">SUM(D87:D98)</f>
        <v>0</v>
      </c>
      <c r="E101" s="22" t="n">
        <f aca="false">SUM(E87:E98)</f>
        <v>21400</v>
      </c>
      <c r="F101" s="22" t="n">
        <f aca="false">SUM(F87:F98)</f>
        <v>44940</v>
      </c>
      <c r="G101" s="22" t="n">
        <f aca="false">SUM(G87:G98)</f>
        <v>70789.06</v>
      </c>
      <c r="H101" s="22" t="n">
        <f aca="false">SUM(H87:H98)</f>
        <v>99128.652</v>
      </c>
      <c r="I101" s="22" t="n">
        <f aca="false">SUM(I87:I98)</f>
        <v>130153.546174</v>
      </c>
      <c r="J101" s="22" t="n">
        <f aca="false">SUM(J87:J98)</f>
        <v>134058.15255922</v>
      </c>
      <c r="K101" s="22" t="n">
        <f aca="false">SUM(K87:K98)</f>
        <v>138079.897135997</v>
      </c>
      <c r="L101" s="22" t="n">
        <f aca="false">SUM(L87:L98)</f>
        <v>142222.294050077</v>
      </c>
      <c r="M101" s="22" t="n">
        <f aca="false">SUM(M87:M98)</f>
        <v>146488.962871579</v>
      </c>
      <c r="N101" s="22" t="n">
        <f aca="false">SUM(N87:N98)</f>
        <v>150883.631757726</v>
      </c>
      <c r="O101" s="22" t="n">
        <f aca="false">SUM(O87:O98)</f>
        <v>155410.140710458</v>
      </c>
      <c r="P101" s="22" t="n">
        <f aca="false">SUM(P87:P98)</f>
        <v>160072.444931772</v>
      </c>
      <c r="Q101" s="22" t="n">
        <f aca="false">SUM(Q87:Q98)</f>
        <v>134363.335301217</v>
      </c>
    </row>
    <row r="102" customFormat="false" ht="15" hidden="false" customHeight="false" outlineLevel="0" collapsed="false">
      <c r="A102" s="3" t="s">
        <v>128</v>
      </c>
      <c r="C102" s="25" t="n">
        <f aca="false">C100+C101</f>
        <v>0</v>
      </c>
      <c r="D102" s="25" t="n">
        <f aca="false">D100+D101</f>
        <v>107000</v>
      </c>
      <c r="E102" s="25" t="n">
        <f aca="false">E100+E101</f>
        <v>135890</v>
      </c>
      <c r="F102" s="25" t="n">
        <f aca="false">F100+F101</f>
        <v>167444.3</v>
      </c>
      <c r="G102" s="25" t="n">
        <f aca="false">G100+G101</f>
        <v>201868.661</v>
      </c>
      <c r="H102" s="25" t="n">
        <f aca="false">H100+H101</f>
        <v>239383.82507</v>
      </c>
      <c r="I102" s="25" t="n">
        <f aca="false">I100+I101</f>
        <v>130153.546174</v>
      </c>
      <c r="J102" s="25" t="n">
        <f aca="false">J100+J101</f>
        <v>134058.15255922</v>
      </c>
      <c r="K102" s="25" t="n">
        <f aca="false">K100+K101</f>
        <v>138079.897135997</v>
      </c>
      <c r="L102" s="25" t="n">
        <f aca="false">L100+L101</f>
        <v>142222.294050077</v>
      </c>
      <c r="M102" s="25" t="n">
        <f aca="false">M100+M101</f>
        <v>146488.962871579</v>
      </c>
      <c r="N102" s="25" t="n">
        <f aca="false">N100+N101</f>
        <v>150883.631757726</v>
      </c>
      <c r="O102" s="25" t="n">
        <f aca="false">O100+O101</f>
        <v>155410.140710458</v>
      </c>
      <c r="P102" s="25" t="n">
        <f aca="false">P100+P101</f>
        <v>160072.444931772</v>
      </c>
      <c r="Q102" s="25" t="n">
        <f aca="false">Q100+Q101</f>
        <v>134363.335301217</v>
      </c>
    </row>
    <row r="103" customFormat="false" ht="15" hidden="false" customHeight="false" outlineLevel="0" collapsed="false">
      <c r="A103" s="2" t="s">
        <v>129</v>
      </c>
      <c r="C103" s="23" t="n">
        <f aca="false">SUMPRODUCT((C86:C98&gt;0)*1)</f>
        <v>0</v>
      </c>
      <c r="D103" s="23" t="n">
        <f aca="false">SUMPRODUCT((D86:D98&gt;0)*1)</f>
        <v>1</v>
      </c>
      <c r="E103" s="23" t="n">
        <f aca="false">SUMPRODUCT((E86:E98&gt;0)*1)</f>
        <v>2</v>
      </c>
      <c r="F103" s="23" t="n">
        <f aca="false">SUMPRODUCT((F86:F98&gt;0)*1)</f>
        <v>3</v>
      </c>
      <c r="G103" s="23" t="n">
        <f aca="false">SUMPRODUCT((G86:G98&gt;0)*1)</f>
        <v>4</v>
      </c>
      <c r="H103" s="23" t="n">
        <f aca="false">SUMPRODUCT((H86:H98&gt;0)*1)</f>
        <v>5</v>
      </c>
      <c r="I103" s="23" t="n">
        <f aca="false">SUMPRODUCT((I86:I98&gt;0)*1)</f>
        <v>5</v>
      </c>
      <c r="J103" s="23" t="n">
        <f aca="false">SUMPRODUCT((J86:J98&gt;0)*1)</f>
        <v>5</v>
      </c>
      <c r="K103" s="23" t="n">
        <f aca="false">SUMPRODUCT((K86:K98&gt;0)*1)</f>
        <v>5</v>
      </c>
      <c r="L103" s="23" t="n">
        <f aca="false">SUMPRODUCT((L86:L98&gt;0)*1)</f>
        <v>5</v>
      </c>
      <c r="M103" s="23" t="n">
        <f aca="false">SUMPRODUCT((M86:M98&gt;0)*1)</f>
        <v>5</v>
      </c>
      <c r="N103" s="23" t="n">
        <f aca="false">SUMPRODUCT((N86:N98&gt;0)*1)</f>
        <v>5</v>
      </c>
      <c r="O103" s="23" t="n">
        <f aca="false">SUMPRODUCT((O86:O98&gt;0)*1)</f>
        <v>5</v>
      </c>
      <c r="P103" s="23" t="n">
        <f aca="false">SUMPRODUCT((P86:P98&gt;0)*1)</f>
        <v>5</v>
      </c>
      <c r="Q103" s="23" t="n">
        <f aca="false">SUMPRODUCT((Q86:Q98&gt;0)*1)</f>
        <v>4</v>
      </c>
    </row>
    <row r="105" customFormat="false" ht="15" hidden="false" customHeight="false" outlineLevel="0" collapsed="false">
      <c r="A105" s="3" t="s">
        <v>130</v>
      </c>
      <c r="C105" s="26" t="n">
        <f aca="false">C80+C82+C83+C102</f>
        <v>215000</v>
      </c>
      <c r="D105" s="26" t="n">
        <f aca="false">D80+D82+D83+D102</f>
        <v>357055</v>
      </c>
      <c r="E105" s="26" t="n">
        <f aca="false">E80+E82+E83+E102</f>
        <v>367696.65</v>
      </c>
      <c r="F105" s="26" t="n">
        <f aca="false">F80+F82+F83+F102</f>
        <v>406205.1495</v>
      </c>
      <c r="G105" s="26" t="n">
        <f aca="false">G80+G82+G83+G102</f>
        <v>447792.335985</v>
      </c>
      <c r="H105" s="26" t="n">
        <f aca="false">H80+H82+H83+H102</f>
        <v>492685.21030455</v>
      </c>
      <c r="I105" s="26" t="n">
        <f aca="false">I80+I82+I83+I102</f>
        <v>391053.972965587</v>
      </c>
      <c r="J105" s="26" t="n">
        <f aca="false">J80+J82+J83+J102</f>
        <v>402785.592154554</v>
      </c>
      <c r="K105" s="26" t="n">
        <f aca="false">K80+K82+K83+K102</f>
        <v>414869.159919191</v>
      </c>
      <c r="L105" s="26" t="n">
        <f aca="false">L80+L82+L83+L102</f>
        <v>427315.234716767</v>
      </c>
      <c r="M105" s="26" t="n">
        <f aca="false">M80+M82+M83+M102</f>
        <v>440134.69175827</v>
      </c>
      <c r="N105" s="26" t="n">
        <f aca="false">N80+N82+N83+N102</f>
        <v>453338.732511018</v>
      </c>
      <c r="O105" s="26" t="n">
        <f aca="false">O80+O82+O83+O102</f>
        <v>466938.894486348</v>
      </c>
      <c r="P105" s="26" t="n">
        <f aca="false">P80+P82+P83+P102</f>
        <v>480947.061320939</v>
      </c>
      <c r="Q105" s="26" t="n">
        <f aca="false">Q80+Q82+Q83+Q102</f>
        <v>464864.190182059</v>
      </c>
    </row>
    <row r="106" customFormat="false" ht="15" hidden="false" customHeight="false" outlineLevel="0" collapsed="false">
      <c r="A106" s="3" t="s">
        <v>131</v>
      </c>
      <c r="C106" s="25" t="n">
        <f aca="false">C105</f>
        <v>215000</v>
      </c>
      <c r="D106" s="25" t="n">
        <f aca="false">C106+D105</f>
        <v>572055</v>
      </c>
      <c r="E106" s="25" t="n">
        <f aca="false">D106+E105</f>
        <v>939751.65</v>
      </c>
      <c r="F106" s="25" t="n">
        <f aca="false">E106+F105</f>
        <v>1345956.7995</v>
      </c>
      <c r="G106" s="25" t="n">
        <f aca="false">F106+G105</f>
        <v>1793749.135485</v>
      </c>
      <c r="H106" s="25" t="n">
        <f aca="false">G106+H105</f>
        <v>2286434.34578955</v>
      </c>
      <c r="I106" s="25" t="n">
        <f aca="false">H106+I105</f>
        <v>2677488.31875514</v>
      </c>
      <c r="J106" s="25" t="n">
        <f aca="false">I106+J105</f>
        <v>3080273.91090969</v>
      </c>
      <c r="K106" s="25" t="n">
        <f aca="false">J106+K105</f>
        <v>3495143.07082888</v>
      </c>
      <c r="L106" s="25" t="n">
        <f aca="false">K106+L105</f>
        <v>3922458.30554565</v>
      </c>
      <c r="M106" s="25" t="n">
        <f aca="false">L106+M105</f>
        <v>4362592.99730392</v>
      </c>
      <c r="N106" s="25" t="n">
        <f aca="false">M106+N105</f>
        <v>4815931.72981494</v>
      </c>
      <c r="O106" s="25" t="n">
        <f aca="false">N106+O105</f>
        <v>5282870.62430128</v>
      </c>
      <c r="P106" s="25" t="n">
        <f aca="false">O106+P105</f>
        <v>5763817.68562222</v>
      </c>
      <c r="Q106" s="25" t="n">
        <f aca="false">P106+Q105</f>
        <v>6228681.87580428</v>
      </c>
    </row>
    <row r="108" customFormat="false" ht="15" hidden="false" customHeight="false" outlineLevel="0" collapsed="false">
      <c r="A108" s="2" t="s">
        <v>132</v>
      </c>
      <c r="B108" s="24" t="n">
        <f aca="false">SUM(W86:W98)</f>
        <v>420.455520545173</v>
      </c>
    </row>
    <row r="109" customFormat="false" ht="15" hidden="false" customHeight="false" outlineLevel="0" collapsed="false">
      <c r="A109" s="2" t="s">
        <v>133</v>
      </c>
      <c r="B109" s="22" t="n">
        <f aca="false">B108*$Q$79</f>
        <v>195148.605305947</v>
      </c>
    </row>
    <row r="121" customFormat="false" ht="15" hidden="false" customHeight="false" outlineLevel="0" collapsed="false">
      <c r="A121" s="18" t="s">
        <v>135</v>
      </c>
      <c r="B121" s="19" t="str">
        <f aca="false">Scenarios!E$3</f>
        <v>Aggressive</v>
      </c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</row>
    <row r="122" customFormat="false" ht="15" hidden="false" customHeight="false" outlineLevel="0" collapsed="false">
      <c r="A122" s="3" t="s">
        <v>101</v>
      </c>
      <c r="C122" s="17" t="n">
        <v>1</v>
      </c>
      <c r="D122" s="17" t="n">
        <v>2</v>
      </c>
      <c r="E122" s="17" t="n">
        <v>3</v>
      </c>
      <c r="F122" s="17" t="n">
        <v>4</v>
      </c>
      <c r="G122" s="17" t="n">
        <v>5</v>
      </c>
      <c r="H122" s="17" t="n">
        <v>6</v>
      </c>
      <c r="I122" s="17" t="n">
        <v>7</v>
      </c>
      <c r="J122" s="17" t="n">
        <v>8</v>
      </c>
      <c r="K122" s="17" t="n">
        <v>9</v>
      </c>
      <c r="L122" s="17" t="n">
        <v>10</v>
      </c>
      <c r="M122" s="17" t="n">
        <v>11</v>
      </c>
      <c r="N122" s="17" t="n">
        <v>12</v>
      </c>
      <c r="O122" s="17" t="n">
        <v>13</v>
      </c>
      <c r="P122" s="17" t="n">
        <v>14</v>
      </c>
      <c r="Q122" s="17" t="n">
        <v>15</v>
      </c>
    </row>
    <row r="123" customFormat="false" ht="15" hidden="false" customHeight="false" outlineLevel="0" collapsed="false">
      <c r="A123" s="3" t="s">
        <v>102</v>
      </c>
      <c r="C123" s="17" t="n">
        <f aca="false">$B$6</f>
        <v>2026</v>
      </c>
      <c r="D123" s="17" t="n">
        <f aca="false">C123+1</f>
        <v>2027</v>
      </c>
      <c r="E123" s="17" t="n">
        <f aca="false">D123+1</f>
        <v>2028</v>
      </c>
      <c r="F123" s="17" t="n">
        <f aca="false">E123+1</f>
        <v>2029</v>
      </c>
      <c r="G123" s="17" t="n">
        <f aca="false">F123+1</f>
        <v>2030</v>
      </c>
      <c r="H123" s="17" t="n">
        <f aca="false">G123+1</f>
        <v>2031</v>
      </c>
      <c r="I123" s="17" t="n">
        <f aca="false">H123+1</f>
        <v>2032</v>
      </c>
      <c r="J123" s="17" t="n">
        <f aca="false">I123+1</f>
        <v>2033</v>
      </c>
      <c r="K123" s="17" t="n">
        <f aca="false">J123+1</f>
        <v>2034</v>
      </c>
      <c r="L123" s="17" t="n">
        <f aca="false">K123+1</f>
        <v>2035</v>
      </c>
      <c r="M123" s="17" t="n">
        <f aca="false">L123+1</f>
        <v>2036</v>
      </c>
      <c r="N123" s="17" t="n">
        <f aca="false">M123+1</f>
        <v>2037</v>
      </c>
      <c r="O123" s="17" t="n">
        <f aca="false">N123+1</f>
        <v>2038</v>
      </c>
      <c r="P123" s="17" t="n">
        <f aca="false">O123+1</f>
        <v>2039</v>
      </c>
      <c r="Q123" s="17" t="n">
        <f aca="false">P123+1</f>
        <v>2040</v>
      </c>
    </row>
    <row r="124" customFormat="false" ht="15" hidden="false" customHeight="false" outlineLevel="0" collapsed="false">
      <c r="A124" s="2" t="s">
        <v>103</v>
      </c>
      <c r="C124" s="21" t="n">
        <f aca="false">$B$17</f>
        <v>180</v>
      </c>
      <c r="D124" s="21" t="n">
        <f aca="false">C124*(1+Scenarios!$E$4)</f>
        <v>207</v>
      </c>
      <c r="E124" s="21" t="n">
        <f aca="false">D124*(1+Scenarios!$E$4)</f>
        <v>238.05</v>
      </c>
      <c r="F124" s="21" t="n">
        <f aca="false">E124*(1+Scenarios!$E$4)</f>
        <v>273.7575</v>
      </c>
      <c r="G124" s="21" t="n">
        <f aca="false">F124*(1+Scenarios!$E$4)</f>
        <v>314.821125</v>
      </c>
      <c r="H124" s="21" t="n">
        <f aca="false">G124*(1+Scenarios!$E$4)</f>
        <v>362.04429375</v>
      </c>
      <c r="I124" s="21" t="n">
        <f aca="false">H124*(1+Scenarios!$E$4)</f>
        <v>416.3509378125</v>
      </c>
      <c r="J124" s="21" t="n">
        <f aca="false">I124*(1+Scenarios!$E$4)</f>
        <v>478.803578484375</v>
      </c>
      <c r="K124" s="21" t="n">
        <f aca="false">J124*(1+Scenarios!$E$4)</f>
        <v>550.624115257031</v>
      </c>
      <c r="L124" s="21" t="n">
        <f aca="false">K124*(1+Scenarios!$E$4)</f>
        <v>633.217732545586</v>
      </c>
      <c r="M124" s="21" t="n">
        <f aca="false">L124*(1+Scenarios!$E$4)</f>
        <v>728.200392427423</v>
      </c>
      <c r="N124" s="21" t="n">
        <f aca="false">M124*(1+Scenarios!$E$4)</f>
        <v>837.430451291537</v>
      </c>
      <c r="O124" s="21" t="n">
        <f aca="false">N124*(1+Scenarios!$E$4)</f>
        <v>963.045018985267</v>
      </c>
      <c r="P124" s="21" t="n">
        <f aca="false">O124*(1+Scenarios!$E$4)</f>
        <v>1107.50177183306</v>
      </c>
      <c r="Q124" s="21" t="n">
        <f aca="false">P124*(1+Scenarios!$E$4)</f>
        <v>1273.62703760802</v>
      </c>
    </row>
    <row r="125" customFormat="false" ht="15" hidden="false" customHeight="false" outlineLevel="0" collapsed="false">
      <c r="A125" s="2" t="s">
        <v>104</v>
      </c>
      <c r="C125" s="22" t="n">
        <f aca="false">$B$7</f>
        <v>190000</v>
      </c>
      <c r="D125" s="22" t="n">
        <f aca="false">C125*(1+$B$8*Scenarios!$E$5)</f>
        <v>198550</v>
      </c>
      <c r="E125" s="22" t="n">
        <f aca="false">D125*(1+$B$8*Scenarios!$E$5)</f>
        <v>207484.75</v>
      </c>
      <c r="F125" s="22" t="n">
        <f aca="false">E125*(1+$B$8*Scenarios!$E$5)</f>
        <v>216821.56375</v>
      </c>
      <c r="G125" s="22" t="n">
        <f aca="false">F125*(1+$B$8*Scenarios!$E$5)</f>
        <v>226578.53411875</v>
      </c>
      <c r="H125" s="22" t="n">
        <f aca="false">G125*(1+$B$8*Scenarios!$E$5)</f>
        <v>236774.568154094</v>
      </c>
      <c r="I125" s="22" t="n">
        <f aca="false">H125*(1+$B$8*Scenarios!$E$5)</f>
        <v>247429.423721028</v>
      </c>
      <c r="J125" s="22" t="n">
        <f aca="false">I125*(1+$B$8*Scenarios!$E$5)</f>
        <v>258563.747788474</v>
      </c>
      <c r="K125" s="22" t="n">
        <f aca="false">J125*(1+$B$8*Scenarios!$E$5)</f>
        <v>270199.116438955</v>
      </c>
      <c r="L125" s="22" t="n">
        <f aca="false">K125*(1+$B$8*Scenarios!$E$5)</f>
        <v>282358.076678708</v>
      </c>
      <c r="M125" s="22" t="n">
        <f aca="false">L125*(1+$B$8*Scenarios!$E$5)</f>
        <v>295064.19012925</v>
      </c>
      <c r="N125" s="22" t="n">
        <f aca="false">M125*(1+$B$8*Scenarios!$E$5)</f>
        <v>308342.078685067</v>
      </c>
      <c r="O125" s="22" t="n">
        <f aca="false">N125*(1+$B$8*Scenarios!$E$5)</f>
        <v>322217.472225894</v>
      </c>
      <c r="P125" s="22" t="n">
        <f aca="false">O125*(1+$B$8*Scenarios!$E$5)</f>
        <v>336717.25847606</v>
      </c>
      <c r="Q125" s="22" t="n">
        <f aca="false">P125*(1+$B$8*Scenarios!$E$5)</f>
        <v>351869.535107482</v>
      </c>
    </row>
    <row r="126" customFormat="false" ht="15" hidden="false" customHeight="false" outlineLevel="0" collapsed="false">
      <c r="A126" s="2" t="s">
        <v>105</v>
      </c>
      <c r="C126" s="22" t="n">
        <f aca="false">IF($B$10="Prior",0,C125)</f>
        <v>190000</v>
      </c>
      <c r="D126" s="22" t="n">
        <f aca="false">IF($B$10="Prior",C125,D125)</f>
        <v>198550</v>
      </c>
      <c r="E126" s="22" t="n">
        <f aca="false">IF($B$10="Prior",D125,E125)</f>
        <v>207484.75</v>
      </c>
      <c r="F126" s="22" t="n">
        <f aca="false">IF($B$10="Prior",E125,F125)</f>
        <v>216821.56375</v>
      </c>
      <c r="G126" s="22" t="n">
        <f aca="false">IF($B$10="Prior",F125,G125)</f>
        <v>226578.53411875</v>
      </c>
      <c r="H126" s="22" t="n">
        <f aca="false">IF($B$10="Prior",G125,H125)</f>
        <v>236774.568154094</v>
      </c>
      <c r="I126" s="22" t="n">
        <f aca="false">IF($B$10="Prior",H125,I125)</f>
        <v>247429.423721028</v>
      </c>
      <c r="J126" s="22" t="n">
        <f aca="false">IF($B$10="Prior",I125,J125)</f>
        <v>258563.747788474</v>
      </c>
      <c r="K126" s="22" t="n">
        <f aca="false">IF($B$10="Prior",J125,K125)</f>
        <v>270199.116438955</v>
      </c>
      <c r="L126" s="22" t="n">
        <f aca="false">IF($B$10="Prior",K125,L125)</f>
        <v>282358.076678708</v>
      </c>
      <c r="M126" s="22" t="n">
        <f aca="false">IF($B$10="Prior",L125,M125)</f>
        <v>295064.19012925</v>
      </c>
      <c r="N126" s="22" t="n">
        <f aca="false">IF($B$10="Prior",M125,N125)</f>
        <v>308342.078685067</v>
      </c>
      <c r="O126" s="22" t="n">
        <f aca="false">IF($B$10="Prior",N125,O125)</f>
        <v>322217.472225894</v>
      </c>
      <c r="P126" s="22" t="n">
        <f aca="false">IF($B$10="Prior",O125,P125)</f>
        <v>336717.25847606</v>
      </c>
      <c r="Q126" s="22" t="n">
        <f aca="false">IF($B$10="Prior",P125,Q125)</f>
        <v>351869.535107482</v>
      </c>
    </row>
    <row r="127" customFormat="false" ht="15" hidden="false" customHeight="false" outlineLevel="0" collapsed="false">
      <c r="A127" s="2" t="s">
        <v>106</v>
      </c>
      <c r="C127" s="22" t="n">
        <f aca="false">IF($B$11="No",0,C126*$B$9*Scenarios!$E$6)</f>
        <v>0</v>
      </c>
      <c r="D127" s="22" t="n">
        <f aca="false">D126*$B$9*Scenarios!$E$6</f>
        <v>37228.125</v>
      </c>
      <c r="E127" s="22" t="n">
        <f aca="false">E126*$B$9*Scenarios!$E$6</f>
        <v>38903.390625</v>
      </c>
      <c r="F127" s="22" t="n">
        <f aca="false">F126*$B$9*Scenarios!$E$6</f>
        <v>40654.043203125</v>
      </c>
      <c r="G127" s="22" t="n">
        <f aca="false">G126*$B$9*Scenarios!$E$6</f>
        <v>42483.4751472656</v>
      </c>
      <c r="H127" s="22" t="n">
        <f aca="false">H126*$B$9*Scenarios!$E$6</f>
        <v>44395.2315288926</v>
      </c>
      <c r="I127" s="22" t="n">
        <f aca="false">I126*$B$9*Scenarios!$E$6</f>
        <v>46393.0169476927</v>
      </c>
      <c r="J127" s="22" t="n">
        <f aca="false">J126*$B$9*Scenarios!$E$6</f>
        <v>48480.7027103389</v>
      </c>
      <c r="K127" s="22" t="n">
        <f aca="false">K126*$B$9*Scenarios!$E$6</f>
        <v>50662.3343323041</v>
      </c>
      <c r="L127" s="22" t="n">
        <f aca="false">L126*$B$9*Scenarios!$E$6</f>
        <v>52942.1393772578</v>
      </c>
      <c r="M127" s="22" t="n">
        <f aca="false">M126*$B$9*Scenarios!$E$6</f>
        <v>55324.5356492344</v>
      </c>
      <c r="N127" s="22" t="n">
        <f aca="false">N126*$B$9*Scenarios!$E$6</f>
        <v>57814.13975345</v>
      </c>
      <c r="O127" s="22" t="n">
        <f aca="false">O126*$B$9*Scenarios!$E$6</f>
        <v>60415.7760423552</v>
      </c>
      <c r="P127" s="22" t="n">
        <f aca="false">P126*$B$9*Scenarios!$E$6</f>
        <v>63134.4859642612</v>
      </c>
      <c r="Q127" s="22" t="n">
        <f aca="false">Q126*$B$9*Scenarios!$E$6</f>
        <v>65975.537832653</v>
      </c>
    </row>
    <row r="128" customFormat="false" ht="15" hidden="false" customHeight="false" outlineLevel="0" collapsed="false">
      <c r="A128" s="2" t="s">
        <v>107</v>
      </c>
      <c r="C128" s="22" t="n">
        <f aca="false">$B$12*$B$13</f>
        <v>25000</v>
      </c>
      <c r="D128" s="22" t="n">
        <f aca="false">$B$12*$B$14</f>
        <v>25000</v>
      </c>
      <c r="E128" s="22" t="n">
        <f aca="false">$B$12*$B$15</f>
        <v>0</v>
      </c>
      <c r="F128" s="22" t="n">
        <v>0</v>
      </c>
      <c r="G128" s="22" t="n">
        <v>0</v>
      </c>
      <c r="H128" s="22" t="n">
        <v>0</v>
      </c>
      <c r="I128" s="22" t="n">
        <v>0</v>
      </c>
      <c r="J128" s="22" t="n">
        <v>0</v>
      </c>
      <c r="K128" s="22" t="n">
        <v>0</v>
      </c>
      <c r="L128" s="22" t="n">
        <v>0</v>
      </c>
      <c r="M128" s="22" t="n">
        <v>0</v>
      </c>
      <c r="N128" s="22" t="n">
        <v>0</v>
      </c>
      <c r="O128" s="22" t="n">
        <v>0</v>
      </c>
      <c r="P128" s="22" t="n">
        <v>0</v>
      </c>
      <c r="Q128" s="22" t="n">
        <v>0</v>
      </c>
    </row>
    <row r="130" customFormat="false" ht="15" hidden="false" customHeight="false" outlineLevel="0" collapsed="false">
      <c r="A130" s="3" t="s">
        <v>108</v>
      </c>
      <c r="S130" s="7" t="s">
        <v>109</v>
      </c>
      <c r="T130" s="7" t="s">
        <v>110</v>
      </c>
      <c r="U130" s="7" t="s">
        <v>111</v>
      </c>
      <c r="V130" s="7" t="s">
        <v>112</v>
      </c>
      <c r="W130" s="7" t="s">
        <v>113</v>
      </c>
    </row>
    <row r="131" customFormat="false" ht="15" hidden="false" customHeight="false" outlineLevel="0" collapsed="false">
      <c r="A131" s="2" t="s">
        <v>97</v>
      </c>
      <c r="C131" s="22" t="n">
        <f aca="false">IF(AND(C$123-$S131+1-$B$22&gt;=1,C$123-$S131+1-$B$22&lt;=8),INDEX($C$26:$J$26,1,C$123-$S131+1-$B$22),0)*$U131*C$124</f>
        <v>0</v>
      </c>
      <c r="D131" s="22" t="n">
        <f aca="false">IF(AND(D$123-$S131+1-$B$22&gt;=1,D$123-$S131+1-$B$22&lt;=8),INDEX($C$26:$J$26,1,D$123-$S131+1-$B$22),0)*$U131*D$124</f>
        <v>115000</v>
      </c>
      <c r="E131" s="22" t="n">
        <f aca="false">IF(AND(E$123-$S131+1-$B$22&gt;=1,E$123-$S131+1-$B$22&lt;=8),INDEX($C$26:$J$26,1,E$123-$S131+1-$B$22),0)*$U131*E$124</f>
        <v>132250</v>
      </c>
      <c r="F131" s="22" t="n">
        <f aca="false">IF(AND(F$123-$S131+1-$B$22&gt;=1,F$123-$S131+1-$B$22&lt;=8),INDEX($C$26:$J$26,1,F$123-$S131+1-$B$22),0)*$U131*F$124</f>
        <v>152087.5</v>
      </c>
      <c r="G131" s="22" t="n">
        <f aca="false">IF(AND(G$123-$S131+1-$B$22&gt;=1,G$123-$S131+1-$B$22&lt;=8),INDEX($C$26:$J$26,1,G$123-$S131+1-$B$22),0)*$U131*G$124</f>
        <v>174900.625</v>
      </c>
      <c r="H131" s="22" t="n">
        <f aca="false">IF(AND(H$123-$S131+1-$B$22&gt;=1,H$123-$S131+1-$B$22&lt;=8),INDEX($C$26:$J$26,1,H$123-$S131+1-$B$22),0)*$U131*H$124</f>
        <v>201135.71875</v>
      </c>
      <c r="I131" s="22" t="n">
        <f aca="false">IF(AND(I$123-$S131+1-$B$22&gt;=1,I$123-$S131+1-$B$22&lt;=8),INDEX($C$26:$J$26,1,I$123-$S131+1-$B$22),0)*$U131*I$124</f>
        <v>0</v>
      </c>
      <c r="J131" s="22" t="n">
        <f aca="false">IF(AND(J$123-$S131+1-$B$22&gt;=1,J$123-$S131+1-$B$22&lt;=8),INDEX($C$26:$J$26,1,J$123-$S131+1-$B$22),0)*$U131*J$124</f>
        <v>0</v>
      </c>
      <c r="K131" s="22" t="n">
        <f aca="false">IF(AND(K$123-$S131+1-$B$22&gt;=1,K$123-$S131+1-$B$22&lt;=8),INDEX($C$26:$J$26,1,K$123-$S131+1-$B$22),0)*$U131*K$124</f>
        <v>0</v>
      </c>
      <c r="L131" s="22" t="n">
        <f aca="false">IF(AND(L$123-$S131+1-$B$22&gt;=1,L$123-$S131+1-$B$22&lt;=8),INDEX($C$26:$J$26,1,L$123-$S131+1-$B$22),0)*$U131*L$124</f>
        <v>0</v>
      </c>
      <c r="M131" s="22" t="n">
        <f aca="false">IF(AND(M$123-$S131+1-$B$22&gt;=1,M$123-$S131+1-$B$22&lt;=8),INDEX($C$26:$J$26,1,M$123-$S131+1-$B$22),0)*$U131*M$124</f>
        <v>0</v>
      </c>
      <c r="N131" s="22" t="n">
        <f aca="false">IF(AND(N$123-$S131+1-$B$22&gt;=1,N$123-$S131+1-$B$22&lt;=8),INDEX($C$26:$J$26,1,N$123-$S131+1-$B$22),0)*$U131*N$124</f>
        <v>0</v>
      </c>
      <c r="O131" s="22" t="n">
        <f aca="false">IF(AND(O$123-$S131+1-$B$22&gt;=1,O$123-$S131+1-$B$22&lt;=8),INDEX($C$26:$J$26,1,O$123-$S131+1-$B$22),0)*$U131*O$124</f>
        <v>0</v>
      </c>
      <c r="P131" s="22" t="n">
        <f aca="false">IF(AND(P$123-$S131+1-$B$22&gt;=1,P$123-$S131+1-$B$22&lt;=8),INDEX($C$26:$J$26,1,P$123-$S131+1-$B$22),0)*$U131*P$124</f>
        <v>0</v>
      </c>
      <c r="Q131" s="22" t="n">
        <f aca="false">IF(AND(Q$123-$S131+1-$B$22&gt;=1,Q$123-$S131+1-$B$22&lt;=8),INDEX($C$26:$J$26,1,Q$123-$S131+1-$B$22),0)*$U131*Q$124</f>
        <v>0</v>
      </c>
      <c r="S131" s="23" t="n">
        <f aca="false">$B$6</f>
        <v>2026</v>
      </c>
      <c r="T131" s="22" t="n">
        <f aca="false">$B$18</f>
        <v>500000</v>
      </c>
      <c r="U131" s="24" t="n">
        <f aca="false">IFERROR(T131/$B$17,0)</f>
        <v>2777.77777777778</v>
      </c>
      <c r="V131" s="24" t="n">
        <f aca="false">SUMPRODUCT(($C$25:$J$25&lt;=$Q$123-$S131+1-$B$22)*$C$26:$J$26)*$U131</f>
        <v>2777.77777777778</v>
      </c>
      <c r="W131" s="24" t="n">
        <f aca="false">$U131-$V131</f>
        <v>0</v>
      </c>
    </row>
    <row r="132" customFormat="false" ht="15" hidden="false" customHeight="false" outlineLevel="0" collapsed="false">
      <c r="A132" s="2" t="s">
        <v>114</v>
      </c>
      <c r="C132" s="22" t="n">
        <f aca="false">IF(AND(C$123-$S132+1-$B$22&gt;=1,C$123-$S132+1-$B$22&lt;=8),INDEX($C$27:$J$27,1,C$123-$S132+1-$B$22),0)*$U132*C$124</f>
        <v>0</v>
      </c>
      <c r="D132" s="22" t="n">
        <f aca="false">IF(AND(D$123-$S132+1-$B$22&gt;=1,D$123-$S132+1-$B$22&lt;=8),INDEX($C$27:$J$27,1,D$123-$S132+1-$B$22),0)*$U132*D$124</f>
        <v>0</v>
      </c>
      <c r="E132" s="22" t="n">
        <f aca="false">IF(AND(E$123-$S132+1-$B$22&gt;=1,E$123-$S132+1-$B$22&lt;=8),INDEX($C$27:$J$27,1,E$123-$S132+1-$B$22),0)*$U132*E$124</f>
        <v>23000</v>
      </c>
      <c r="F132" s="22" t="n">
        <f aca="false">IF(AND(F$123-$S132+1-$B$22&gt;=1,F$123-$S132+1-$B$22&lt;=8),INDEX($C$27:$J$27,1,F$123-$S132+1-$B$22),0)*$U132*F$124</f>
        <v>26450</v>
      </c>
      <c r="G132" s="22" t="n">
        <f aca="false">IF(AND(G$123-$S132+1-$B$22&gt;=1,G$123-$S132+1-$B$22&lt;=8),INDEX($C$27:$J$27,1,G$123-$S132+1-$B$22),0)*$U132*G$124</f>
        <v>30417.5</v>
      </c>
      <c r="H132" s="22" t="n">
        <f aca="false">IF(AND(H$123-$S132+1-$B$22&gt;=1,H$123-$S132+1-$B$22&lt;=8),INDEX($C$27:$J$27,1,H$123-$S132+1-$B$22),0)*$U132*H$124</f>
        <v>34980.125</v>
      </c>
      <c r="I132" s="22" t="n">
        <f aca="false">IF(AND(I$123-$S132+1-$B$22&gt;=1,I$123-$S132+1-$B$22&lt;=8),INDEX($C$27:$J$27,1,I$123-$S132+1-$B$22),0)*$U132*I$124</f>
        <v>40227.14375</v>
      </c>
      <c r="J132" s="22" t="n">
        <f aca="false">IF(AND(J$123-$S132+1-$B$22&gt;=1,J$123-$S132+1-$B$22&lt;=8),INDEX($C$27:$J$27,1,J$123-$S132+1-$B$22),0)*$U132*J$124</f>
        <v>0</v>
      </c>
      <c r="K132" s="22" t="n">
        <f aca="false">IF(AND(K$123-$S132+1-$B$22&gt;=1,K$123-$S132+1-$B$22&lt;=8),INDEX($C$27:$J$27,1,K$123-$S132+1-$B$22),0)*$U132*K$124</f>
        <v>0</v>
      </c>
      <c r="L132" s="22" t="n">
        <f aca="false">IF(AND(L$123-$S132+1-$B$22&gt;=1,L$123-$S132+1-$B$22&lt;=8),INDEX($C$27:$J$27,1,L$123-$S132+1-$B$22),0)*$U132*L$124</f>
        <v>0</v>
      </c>
      <c r="M132" s="22" t="n">
        <f aca="false">IF(AND(M$123-$S132+1-$B$22&gt;=1,M$123-$S132+1-$B$22&lt;=8),INDEX($C$27:$J$27,1,M$123-$S132+1-$B$22),0)*$U132*M$124</f>
        <v>0</v>
      </c>
      <c r="N132" s="22" t="n">
        <f aca="false">IF(AND(N$123-$S132+1-$B$22&gt;=1,N$123-$S132+1-$B$22&lt;=8),INDEX($C$27:$J$27,1,N$123-$S132+1-$B$22),0)*$U132*N$124</f>
        <v>0</v>
      </c>
      <c r="O132" s="22" t="n">
        <f aca="false">IF(AND(O$123-$S132+1-$B$22&gt;=1,O$123-$S132+1-$B$22&lt;=8),INDEX($C$27:$J$27,1,O$123-$S132+1-$B$22),0)*$U132*O$124</f>
        <v>0</v>
      </c>
      <c r="P132" s="22" t="n">
        <f aca="false">IF(AND(P$123-$S132+1-$B$22&gt;=1,P$123-$S132+1-$B$22&lt;=8),INDEX($C$27:$J$27,1,P$123-$S132+1-$B$22),0)*$U132*P$124</f>
        <v>0</v>
      </c>
      <c r="Q132" s="22" t="n">
        <f aca="false">IF(AND(Q$123-$S132+1-$B$22&gt;=1,Q$123-$S132+1-$B$22&lt;=8),INDEX($C$27:$J$27,1,Q$123-$S132+1-$B$22),0)*$U132*Q$124</f>
        <v>0</v>
      </c>
      <c r="S132" s="23" t="n">
        <f aca="false">$B$20+0</f>
        <v>2027</v>
      </c>
      <c r="T132" s="22" t="n">
        <f aca="false">IF($S132&gt;$B$20+Scenarios!$E$8-1,0,$B$19*(1+$B$21*Scenarios!$E$7)^0)</f>
        <v>100000</v>
      </c>
      <c r="U132" s="24" t="n">
        <f aca="false">IFERROR($T132/INDEX($C$124:$Q$124,1,MATCH($S132,$C$123:$Q$123,0)),0)</f>
        <v>483.091787439614</v>
      </c>
      <c r="V132" s="24" t="n">
        <f aca="false">SUMPRODUCT(($C$25:$J$25&lt;=$Q$123-$S132+1-$B$22)*$C$27:$J$27)*$U132</f>
        <v>483.091787439614</v>
      </c>
      <c r="W132" s="24" t="n">
        <f aca="false">$U132-$V132</f>
        <v>0</v>
      </c>
    </row>
    <row r="133" customFormat="false" ht="15" hidden="false" customHeight="false" outlineLevel="0" collapsed="false">
      <c r="A133" s="2" t="s">
        <v>115</v>
      </c>
      <c r="C133" s="22" t="n">
        <f aca="false">IF(AND(C$123-$S133+1-$B$22&gt;=1,C$123-$S133+1-$B$22&lt;=8),INDEX($C$27:$J$27,1,C$123-$S133+1-$B$22),0)*$U133*C$124</f>
        <v>0</v>
      </c>
      <c r="D133" s="22" t="n">
        <f aca="false">IF(AND(D$123-$S133+1-$B$22&gt;=1,D$123-$S133+1-$B$22&lt;=8),INDEX($C$27:$J$27,1,D$123-$S133+1-$B$22),0)*$U133*D$124</f>
        <v>0</v>
      </c>
      <c r="E133" s="22" t="n">
        <f aca="false">IF(AND(E$123-$S133+1-$B$22&gt;=1,E$123-$S133+1-$B$22&lt;=8),INDEX($C$27:$J$27,1,E$123-$S133+1-$B$22),0)*$U133*E$124</f>
        <v>0</v>
      </c>
      <c r="F133" s="22" t="n">
        <f aca="false">IF(AND(F$123-$S133+1-$B$22&gt;=1,F$123-$S133+1-$B$22&lt;=8),INDEX($C$27:$J$27,1,F$123-$S133+1-$B$22),0)*$U133*F$124</f>
        <v>23690</v>
      </c>
      <c r="G133" s="22" t="n">
        <f aca="false">IF(AND(G$123-$S133+1-$B$22&gt;=1,G$123-$S133+1-$B$22&lt;=8),INDEX($C$27:$J$27,1,G$123-$S133+1-$B$22),0)*$U133*G$124</f>
        <v>27243.5</v>
      </c>
      <c r="H133" s="22" t="n">
        <f aca="false">IF(AND(H$123-$S133+1-$B$22&gt;=1,H$123-$S133+1-$B$22&lt;=8),INDEX($C$27:$J$27,1,H$123-$S133+1-$B$22),0)*$U133*H$124</f>
        <v>31330.025</v>
      </c>
      <c r="I133" s="22" t="n">
        <f aca="false">IF(AND(I$123-$S133+1-$B$22&gt;=1,I$123-$S133+1-$B$22&lt;=8),INDEX($C$27:$J$27,1,I$123-$S133+1-$B$22),0)*$U133*I$124</f>
        <v>36029.52875</v>
      </c>
      <c r="J133" s="22" t="n">
        <f aca="false">IF(AND(J$123-$S133+1-$B$22&gt;=1,J$123-$S133+1-$B$22&lt;=8),INDEX($C$27:$J$27,1,J$123-$S133+1-$B$22),0)*$U133*J$124</f>
        <v>41433.9580625</v>
      </c>
      <c r="K133" s="22" t="n">
        <f aca="false">IF(AND(K$123-$S133+1-$B$22&gt;=1,K$123-$S133+1-$B$22&lt;=8),INDEX($C$27:$J$27,1,K$123-$S133+1-$B$22),0)*$U133*K$124</f>
        <v>0</v>
      </c>
      <c r="L133" s="22" t="n">
        <f aca="false">IF(AND(L$123-$S133+1-$B$22&gt;=1,L$123-$S133+1-$B$22&lt;=8),INDEX($C$27:$J$27,1,L$123-$S133+1-$B$22),0)*$U133*L$124</f>
        <v>0</v>
      </c>
      <c r="M133" s="22" t="n">
        <f aca="false">IF(AND(M$123-$S133+1-$B$22&gt;=1,M$123-$S133+1-$B$22&lt;=8),INDEX($C$27:$J$27,1,M$123-$S133+1-$B$22),0)*$U133*M$124</f>
        <v>0</v>
      </c>
      <c r="N133" s="22" t="n">
        <f aca="false">IF(AND(N$123-$S133+1-$B$22&gt;=1,N$123-$S133+1-$B$22&lt;=8),INDEX($C$27:$J$27,1,N$123-$S133+1-$B$22),0)*$U133*N$124</f>
        <v>0</v>
      </c>
      <c r="O133" s="22" t="n">
        <f aca="false">IF(AND(O$123-$S133+1-$B$22&gt;=1,O$123-$S133+1-$B$22&lt;=8),INDEX($C$27:$J$27,1,O$123-$S133+1-$B$22),0)*$U133*O$124</f>
        <v>0</v>
      </c>
      <c r="P133" s="22" t="n">
        <f aca="false">IF(AND(P$123-$S133+1-$B$22&gt;=1,P$123-$S133+1-$B$22&lt;=8),INDEX($C$27:$J$27,1,P$123-$S133+1-$B$22),0)*$U133*P$124</f>
        <v>0</v>
      </c>
      <c r="Q133" s="22" t="n">
        <f aca="false">IF(AND(Q$123-$S133+1-$B$22&gt;=1,Q$123-$S133+1-$B$22&lt;=8),INDEX($C$27:$J$27,1,Q$123-$S133+1-$B$22),0)*$U133*Q$124</f>
        <v>0</v>
      </c>
      <c r="S133" s="23" t="n">
        <f aca="false">$B$20+1</f>
        <v>2028</v>
      </c>
      <c r="T133" s="22" t="n">
        <f aca="false">IF($S133&gt;$B$20+Scenarios!$E$8-1,0,$B$19*(1+$B$21*Scenarios!$E$7)^1)</f>
        <v>103000</v>
      </c>
      <c r="U133" s="24" t="n">
        <f aca="false">IFERROR($T133/INDEX($C$124:$Q$124,1,MATCH($S133,$C$123:$Q$123,0)),0)</f>
        <v>432.682209619828</v>
      </c>
      <c r="V133" s="24" t="n">
        <f aca="false">SUMPRODUCT(($C$25:$J$25&lt;=$Q$123-$S133+1-$B$22)*$C$27:$J$27)*$U133</f>
        <v>432.682209619828</v>
      </c>
      <c r="W133" s="24" t="n">
        <f aca="false">$U133-$V133</f>
        <v>0</v>
      </c>
    </row>
    <row r="134" customFormat="false" ht="15" hidden="false" customHeight="false" outlineLevel="0" collapsed="false">
      <c r="A134" s="2" t="s">
        <v>116</v>
      </c>
      <c r="C134" s="22" t="n">
        <f aca="false">IF(AND(C$123-$S134+1-$B$22&gt;=1,C$123-$S134+1-$B$22&lt;=8),INDEX($C$27:$J$27,1,C$123-$S134+1-$B$22),0)*$U134*C$124</f>
        <v>0</v>
      </c>
      <c r="D134" s="22" t="n">
        <f aca="false">IF(AND(D$123-$S134+1-$B$22&gt;=1,D$123-$S134+1-$B$22&lt;=8),INDEX($C$27:$J$27,1,D$123-$S134+1-$B$22),0)*$U134*D$124</f>
        <v>0</v>
      </c>
      <c r="E134" s="22" t="n">
        <f aca="false">IF(AND(E$123-$S134+1-$B$22&gt;=1,E$123-$S134+1-$B$22&lt;=8),INDEX($C$27:$J$27,1,E$123-$S134+1-$B$22),0)*$U134*E$124</f>
        <v>0</v>
      </c>
      <c r="F134" s="22" t="n">
        <f aca="false">IF(AND(F$123-$S134+1-$B$22&gt;=1,F$123-$S134+1-$B$22&lt;=8),INDEX($C$27:$J$27,1,F$123-$S134+1-$B$22),0)*$U134*F$124</f>
        <v>0</v>
      </c>
      <c r="G134" s="22" t="n">
        <f aca="false">IF(AND(G$123-$S134+1-$B$22&gt;=1,G$123-$S134+1-$B$22&lt;=8),INDEX($C$27:$J$27,1,G$123-$S134+1-$B$22),0)*$U134*G$124</f>
        <v>24400.7</v>
      </c>
      <c r="H134" s="22" t="n">
        <f aca="false">IF(AND(H$123-$S134+1-$B$22&gt;=1,H$123-$S134+1-$B$22&lt;=8),INDEX($C$27:$J$27,1,H$123-$S134+1-$B$22),0)*$U134*H$124</f>
        <v>28060.805</v>
      </c>
      <c r="I134" s="22" t="n">
        <f aca="false">IF(AND(I$123-$S134+1-$B$22&gt;=1,I$123-$S134+1-$B$22&lt;=8),INDEX($C$27:$J$27,1,I$123-$S134+1-$B$22),0)*$U134*I$124</f>
        <v>32269.92575</v>
      </c>
      <c r="J134" s="22" t="n">
        <f aca="false">IF(AND(J$123-$S134+1-$B$22&gt;=1,J$123-$S134+1-$B$22&lt;=8),INDEX($C$27:$J$27,1,J$123-$S134+1-$B$22),0)*$U134*J$124</f>
        <v>37110.4146125</v>
      </c>
      <c r="K134" s="22" t="n">
        <f aca="false">IF(AND(K$123-$S134+1-$B$22&gt;=1,K$123-$S134+1-$B$22&lt;=8),INDEX($C$27:$J$27,1,K$123-$S134+1-$B$22),0)*$U134*K$124</f>
        <v>42676.976804375</v>
      </c>
      <c r="L134" s="22" t="n">
        <f aca="false">IF(AND(L$123-$S134+1-$B$22&gt;=1,L$123-$S134+1-$B$22&lt;=8),INDEX($C$27:$J$27,1,L$123-$S134+1-$B$22),0)*$U134*L$124</f>
        <v>0</v>
      </c>
      <c r="M134" s="22" t="n">
        <f aca="false">IF(AND(M$123-$S134+1-$B$22&gt;=1,M$123-$S134+1-$B$22&lt;=8),INDEX($C$27:$J$27,1,M$123-$S134+1-$B$22),0)*$U134*M$124</f>
        <v>0</v>
      </c>
      <c r="N134" s="22" t="n">
        <f aca="false">IF(AND(N$123-$S134+1-$B$22&gt;=1,N$123-$S134+1-$B$22&lt;=8),INDEX($C$27:$J$27,1,N$123-$S134+1-$B$22),0)*$U134*N$124</f>
        <v>0</v>
      </c>
      <c r="O134" s="22" t="n">
        <f aca="false">IF(AND(O$123-$S134+1-$B$22&gt;=1,O$123-$S134+1-$B$22&lt;=8),INDEX($C$27:$J$27,1,O$123-$S134+1-$B$22),0)*$U134*O$124</f>
        <v>0</v>
      </c>
      <c r="P134" s="22" t="n">
        <f aca="false">IF(AND(P$123-$S134+1-$B$22&gt;=1,P$123-$S134+1-$B$22&lt;=8),INDEX($C$27:$J$27,1,P$123-$S134+1-$B$22),0)*$U134*P$124</f>
        <v>0</v>
      </c>
      <c r="Q134" s="22" t="n">
        <f aca="false">IF(AND(Q$123-$S134+1-$B$22&gt;=1,Q$123-$S134+1-$B$22&lt;=8),INDEX($C$27:$J$27,1,Q$123-$S134+1-$B$22),0)*$U134*Q$124</f>
        <v>0</v>
      </c>
      <c r="S134" s="23" t="n">
        <f aca="false">$B$20+2</f>
        <v>2029</v>
      </c>
      <c r="T134" s="22" t="n">
        <f aca="false">IF($S134&gt;$B$20+Scenarios!$E$8-1,0,$B$19*(1+$B$21*Scenarios!$E$7)^2)</f>
        <v>106090</v>
      </c>
      <c r="U134" s="24" t="n">
        <f aca="false">IFERROR($T134/INDEX($C$124:$Q$124,1,MATCH($S134,$C$123:$Q$123,0)),0)</f>
        <v>387.532761659498</v>
      </c>
      <c r="V134" s="24" t="n">
        <f aca="false">SUMPRODUCT(($C$25:$J$25&lt;=$Q$123-$S134+1-$B$22)*$C$27:$J$27)*$U134</f>
        <v>387.532761659498</v>
      </c>
      <c r="W134" s="24" t="n">
        <f aca="false">$U134-$V134</f>
        <v>0</v>
      </c>
    </row>
    <row r="135" customFormat="false" ht="15" hidden="false" customHeight="false" outlineLevel="0" collapsed="false">
      <c r="A135" s="2" t="s">
        <v>117</v>
      </c>
      <c r="C135" s="22" t="n">
        <f aca="false">IF(AND(C$123-$S135+1-$B$22&gt;=1,C$123-$S135+1-$B$22&lt;=8),INDEX($C$27:$J$27,1,C$123-$S135+1-$B$22),0)*$U135*C$124</f>
        <v>0</v>
      </c>
      <c r="D135" s="22" t="n">
        <f aca="false">IF(AND(D$123-$S135+1-$B$22&gt;=1,D$123-$S135+1-$B$22&lt;=8),INDEX($C$27:$J$27,1,D$123-$S135+1-$B$22),0)*$U135*D$124</f>
        <v>0</v>
      </c>
      <c r="E135" s="22" t="n">
        <f aca="false">IF(AND(E$123-$S135+1-$B$22&gt;=1,E$123-$S135+1-$B$22&lt;=8),INDEX($C$27:$J$27,1,E$123-$S135+1-$B$22),0)*$U135*E$124</f>
        <v>0</v>
      </c>
      <c r="F135" s="22" t="n">
        <f aca="false">IF(AND(F$123-$S135+1-$B$22&gt;=1,F$123-$S135+1-$B$22&lt;=8),INDEX($C$27:$J$27,1,F$123-$S135+1-$B$22),0)*$U135*F$124</f>
        <v>0</v>
      </c>
      <c r="G135" s="22" t="n">
        <f aca="false">IF(AND(G$123-$S135+1-$B$22&gt;=1,G$123-$S135+1-$B$22&lt;=8),INDEX($C$27:$J$27,1,G$123-$S135+1-$B$22),0)*$U135*G$124</f>
        <v>0</v>
      </c>
      <c r="H135" s="22" t="n">
        <f aca="false">IF(AND(H$123-$S135+1-$B$22&gt;=1,H$123-$S135+1-$B$22&lt;=8),INDEX($C$27:$J$27,1,H$123-$S135+1-$B$22),0)*$U135*H$124</f>
        <v>25132.721</v>
      </c>
      <c r="I135" s="22" t="n">
        <f aca="false">IF(AND(I$123-$S135+1-$B$22&gt;=1,I$123-$S135+1-$B$22&lt;=8),INDEX($C$27:$J$27,1,I$123-$S135+1-$B$22),0)*$U135*I$124</f>
        <v>28902.62915</v>
      </c>
      <c r="J135" s="22" t="n">
        <f aca="false">IF(AND(J$123-$S135+1-$B$22&gt;=1,J$123-$S135+1-$B$22&lt;=8),INDEX($C$27:$J$27,1,J$123-$S135+1-$B$22),0)*$U135*J$124</f>
        <v>33238.0235225</v>
      </c>
      <c r="K135" s="22" t="n">
        <f aca="false">IF(AND(K$123-$S135+1-$B$22&gt;=1,K$123-$S135+1-$B$22&lt;=8),INDEX($C$27:$J$27,1,K$123-$S135+1-$B$22),0)*$U135*K$124</f>
        <v>38223.727050875</v>
      </c>
      <c r="L135" s="22" t="n">
        <f aca="false">IF(AND(L$123-$S135+1-$B$22&gt;=1,L$123-$S135+1-$B$22&lt;=8),INDEX($C$27:$J$27,1,L$123-$S135+1-$B$22),0)*$U135*L$124</f>
        <v>43957.2861085062</v>
      </c>
      <c r="M135" s="22" t="n">
        <f aca="false">IF(AND(M$123-$S135+1-$B$22&gt;=1,M$123-$S135+1-$B$22&lt;=8),INDEX($C$27:$J$27,1,M$123-$S135+1-$B$22),0)*$U135*M$124</f>
        <v>0</v>
      </c>
      <c r="N135" s="22" t="n">
        <f aca="false">IF(AND(N$123-$S135+1-$B$22&gt;=1,N$123-$S135+1-$B$22&lt;=8),INDEX($C$27:$J$27,1,N$123-$S135+1-$B$22),0)*$U135*N$124</f>
        <v>0</v>
      </c>
      <c r="O135" s="22" t="n">
        <f aca="false">IF(AND(O$123-$S135+1-$B$22&gt;=1,O$123-$S135+1-$B$22&lt;=8),INDEX($C$27:$J$27,1,O$123-$S135+1-$B$22),0)*$U135*O$124</f>
        <v>0</v>
      </c>
      <c r="P135" s="22" t="n">
        <f aca="false">IF(AND(P$123-$S135+1-$B$22&gt;=1,P$123-$S135+1-$B$22&lt;=8),INDEX($C$27:$J$27,1,P$123-$S135+1-$B$22),0)*$U135*P$124</f>
        <v>0</v>
      </c>
      <c r="Q135" s="22" t="n">
        <f aca="false">IF(AND(Q$123-$S135+1-$B$22&gt;=1,Q$123-$S135+1-$B$22&lt;=8),INDEX($C$27:$J$27,1,Q$123-$S135+1-$B$22),0)*$U135*Q$124</f>
        <v>0</v>
      </c>
      <c r="S135" s="23" t="n">
        <f aca="false">$B$20+3</f>
        <v>2030</v>
      </c>
      <c r="T135" s="22" t="n">
        <f aca="false">IF($S135&gt;$B$20+Scenarios!$E$8-1,0,$B$19*(1+$B$21*Scenarios!$E$7)^3)</f>
        <v>109272.7</v>
      </c>
      <c r="U135" s="24" t="n">
        <f aca="false">IFERROR($T135/INDEX($C$124:$Q$124,1,MATCH($S135,$C$123:$Q$123,0)),0)</f>
        <v>347.094560442855</v>
      </c>
      <c r="V135" s="24" t="n">
        <f aca="false">SUMPRODUCT(($C$25:$J$25&lt;=$Q$123-$S135+1-$B$22)*$C$27:$J$27)*$U135</f>
        <v>347.094560442855</v>
      </c>
      <c r="W135" s="24" t="n">
        <f aca="false">$U135-$V135</f>
        <v>0</v>
      </c>
    </row>
    <row r="136" customFormat="false" ht="15" hidden="false" customHeight="false" outlineLevel="0" collapsed="false">
      <c r="A136" s="2" t="s">
        <v>118</v>
      </c>
      <c r="C136" s="22" t="n">
        <f aca="false">IF(AND(C$123-$S136+1-$B$22&gt;=1,C$123-$S136+1-$B$22&lt;=8),INDEX($C$27:$J$27,1,C$123-$S136+1-$B$22),0)*$U136*C$124</f>
        <v>0</v>
      </c>
      <c r="D136" s="22" t="n">
        <f aca="false">IF(AND(D$123-$S136+1-$B$22&gt;=1,D$123-$S136+1-$B$22&lt;=8),INDEX($C$27:$J$27,1,D$123-$S136+1-$B$22),0)*$U136*D$124</f>
        <v>0</v>
      </c>
      <c r="E136" s="22" t="n">
        <f aca="false">IF(AND(E$123-$S136+1-$B$22&gt;=1,E$123-$S136+1-$B$22&lt;=8),INDEX($C$27:$J$27,1,E$123-$S136+1-$B$22),0)*$U136*E$124</f>
        <v>0</v>
      </c>
      <c r="F136" s="22" t="n">
        <f aca="false">IF(AND(F$123-$S136+1-$B$22&gt;=1,F$123-$S136+1-$B$22&lt;=8),INDEX($C$27:$J$27,1,F$123-$S136+1-$B$22),0)*$U136*F$124</f>
        <v>0</v>
      </c>
      <c r="G136" s="22" t="n">
        <f aca="false">IF(AND(G$123-$S136+1-$B$22&gt;=1,G$123-$S136+1-$B$22&lt;=8),INDEX($C$27:$J$27,1,G$123-$S136+1-$B$22),0)*$U136*G$124</f>
        <v>0</v>
      </c>
      <c r="H136" s="22" t="n">
        <f aca="false">IF(AND(H$123-$S136+1-$B$22&gt;=1,H$123-$S136+1-$B$22&lt;=8),INDEX($C$27:$J$27,1,H$123-$S136+1-$B$22),0)*$U136*H$124</f>
        <v>0</v>
      </c>
      <c r="I136" s="22" t="n">
        <f aca="false">IF(AND(I$123-$S136+1-$B$22&gt;=1,I$123-$S136+1-$B$22&lt;=8),INDEX($C$27:$J$27,1,I$123-$S136+1-$B$22),0)*$U136*I$124</f>
        <v>25886.70263</v>
      </c>
      <c r="J136" s="22" t="n">
        <f aca="false">IF(AND(J$123-$S136+1-$B$22&gt;=1,J$123-$S136+1-$B$22&lt;=8),INDEX($C$27:$J$27,1,J$123-$S136+1-$B$22),0)*$U136*J$124</f>
        <v>29769.7080245</v>
      </c>
      <c r="K136" s="22" t="n">
        <f aca="false">IF(AND(K$123-$S136+1-$B$22&gt;=1,K$123-$S136+1-$B$22&lt;=8),INDEX($C$27:$J$27,1,K$123-$S136+1-$B$22),0)*$U136*K$124</f>
        <v>34235.164228175</v>
      </c>
      <c r="L136" s="22" t="n">
        <f aca="false">IF(AND(L$123-$S136+1-$B$22&gt;=1,L$123-$S136+1-$B$22&lt;=8),INDEX($C$27:$J$27,1,L$123-$S136+1-$B$22),0)*$U136*L$124</f>
        <v>39370.4388624013</v>
      </c>
      <c r="M136" s="22" t="n">
        <f aca="false">IF(AND(M$123-$S136+1-$B$22&gt;=1,M$123-$S136+1-$B$22&lt;=8),INDEX($C$27:$J$27,1,M$123-$S136+1-$B$22),0)*$U136*M$124</f>
        <v>45276.0046917614</v>
      </c>
      <c r="N136" s="22" t="n">
        <f aca="false">IF(AND(N$123-$S136+1-$B$22&gt;=1,N$123-$S136+1-$B$22&lt;=8),INDEX($C$27:$J$27,1,N$123-$S136+1-$B$22),0)*$U136*N$124</f>
        <v>0</v>
      </c>
      <c r="O136" s="22" t="n">
        <f aca="false">IF(AND(O$123-$S136+1-$B$22&gt;=1,O$123-$S136+1-$B$22&lt;=8),INDEX($C$27:$J$27,1,O$123-$S136+1-$B$22),0)*$U136*O$124</f>
        <v>0</v>
      </c>
      <c r="P136" s="22" t="n">
        <f aca="false">IF(AND(P$123-$S136+1-$B$22&gt;=1,P$123-$S136+1-$B$22&lt;=8),INDEX($C$27:$J$27,1,P$123-$S136+1-$B$22),0)*$U136*P$124</f>
        <v>0</v>
      </c>
      <c r="Q136" s="22" t="n">
        <f aca="false">IF(AND(Q$123-$S136+1-$B$22&gt;=1,Q$123-$S136+1-$B$22&lt;=8),INDEX($C$27:$J$27,1,Q$123-$S136+1-$B$22),0)*$U136*Q$124</f>
        <v>0</v>
      </c>
      <c r="S136" s="23" t="n">
        <f aca="false">$B$20+4</f>
        <v>2031</v>
      </c>
      <c r="T136" s="22" t="n">
        <f aca="false">IF($S136&gt;$B$20+Scenarios!$E$8-1,0,$B$19*(1+$B$21*Scenarios!$E$7)^4)</f>
        <v>112550.881</v>
      </c>
      <c r="U136" s="24" t="n">
        <f aca="false">IFERROR($T136/INDEX($C$124:$Q$124,1,MATCH($S136,$C$123:$Q$123,0)),0)</f>
        <v>310.875997614035</v>
      </c>
      <c r="V136" s="24" t="n">
        <f aca="false">SUMPRODUCT(($C$25:$J$25&lt;=$Q$123-$S136+1-$B$22)*$C$27:$J$27)*$U136</f>
        <v>310.875997614035</v>
      </c>
      <c r="W136" s="24" t="n">
        <f aca="false">$U136-$V136</f>
        <v>0</v>
      </c>
    </row>
    <row r="137" customFormat="false" ht="15" hidden="false" customHeight="false" outlineLevel="0" collapsed="false">
      <c r="A137" s="2" t="s">
        <v>119</v>
      </c>
      <c r="C137" s="22" t="n">
        <f aca="false">IF(AND(C$123-$S137+1-$B$22&gt;=1,C$123-$S137+1-$B$22&lt;=8),INDEX($C$27:$J$27,1,C$123-$S137+1-$B$22),0)*$U137*C$124</f>
        <v>0</v>
      </c>
      <c r="D137" s="22" t="n">
        <f aca="false">IF(AND(D$123-$S137+1-$B$22&gt;=1,D$123-$S137+1-$B$22&lt;=8),INDEX($C$27:$J$27,1,D$123-$S137+1-$B$22),0)*$U137*D$124</f>
        <v>0</v>
      </c>
      <c r="E137" s="22" t="n">
        <f aca="false">IF(AND(E$123-$S137+1-$B$22&gt;=1,E$123-$S137+1-$B$22&lt;=8),INDEX($C$27:$J$27,1,E$123-$S137+1-$B$22),0)*$U137*E$124</f>
        <v>0</v>
      </c>
      <c r="F137" s="22" t="n">
        <f aca="false">IF(AND(F$123-$S137+1-$B$22&gt;=1,F$123-$S137+1-$B$22&lt;=8),INDEX($C$27:$J$27,1,F$123-$S137+1-$B$22),0)*$U137*F$124</f>
        <v>0</v>
      </c>
      <c r="G137" s="22" t="n">
        <f aca="false">IF(AND(G$123-$S137+1-$B$22&gt;=1,G$123-$S137+1-$B$22&lt;=8),INDEX($C$27:$J$27,1,G$123-$S137+1-$B$22),0)*$U137*G$124</f>
        <v>0</v>
      </c>
      <c r="H137" s="22" t="n">
        <f aca="false">IF(AND(H$123-$S137+1-$B$22&gt;=1,H$123-$S137+1-$B$22&lt;=8),INDEX($C$27:$J$27,1,H$123-$S137+1-$B$22),0)*$U137*H$124</f>
        <v>0</v>
      </c>
      <c r="I137" s="22" t="n">
        <f aca="false">IF(AND(I$123-$S137+1-$B$22&gt;=1,I$123-$S137+1-$B$22&lt;=8),INDEX($C$27:$J$27,1,I$123-$S137+1-$B$22),0)*$U137*I$124</f>
        <v>0</v>
      </c>
      <c r="J137" s="22" t="n">
        <f aca="false">IF(AND(J$123-$S137+1-$B$22&gt;=1,J$123-$S137+1-$B$22&lt;=8),INDEX($C$27:$J$27,1,J$123-$S137+1-$B$22),0)*$U137*J$124</f>
        <v>26663.3037089</v>
      </c>
      <c r="K137" s="22" t="n">
        <f aca="false">IF(AND(K$123-$S137+1-$B$22&gt;=1,K$123-$S137+1-$B$22&lt;=8),INDEX($C$27:$J$27,1,K$123-$S137+1-$B$22),0)*$U137*K$124</f>
        <v>30662.799265235</v>
      </c>
      <c r="L137" s="22" t="n">
        <f aca="false">IF(AND(L$123-$S137+1-$B$22&gt;=1,L$123-$S137+1-$B$22&lt;=8),INDEX($C$27:$J$27,1,L$123-$S137+1-$B$22),0)*$U137*L$124</f>
        <v>35262.2191550203</v>
      </c>
      <c r="M137" s="22" t="n">
        <f aca="false">IF(AND(M$123-$S137+1-$B$22&gt;=1,M$123-$S137+1-$B$22&lt;=8),INDEX($C$27:$J$27,1,M$123-$S137+1-$B$22),0)*$U137*M$124</f>
        <v>40551.5520282733</v>
      </c>
      <c r="N137" s="22" t="n">
        <f aca="false">IF(AND(N$123-$S137+1-$B$22&gt;=1,N$123-$S137+1-$B$22&lt;=8),INDEX($C$27:$J$27,1,N$123-$S137+1-$B$22),0)*$U137*N$124</f>
        <v>46634.2848325143</v>
      </c>
      <c r="O137" s="22" t="n">
        <f aca="false">IF(AND(O$123-$S137+1-$B$22&gt;=1,O$123-$S137+1-$B$22&lt;=8),INDEX($C$27:$J$27,1,O$123-$S137+1-$B$22),0)*$U137*O$124</f>
        <v>0</v>
      </c>
      <c r="P137" s="22" t="n">
        <f aca="false">IF(AND(P$123-$S137+1-$B$22&gt;=1,P$123-$S137+1-$B$22&lt;=8),INDEX($C$27:$J$27,1,P$123-$S137+1-$B$22),0)*$U137*P$124</f>
        <v>0</v>
      </c>
      <c r="Q137" s="22" t="n">
        <f aca="false">IF(AND(Q$123-$S137+1-$B$22&gt;=1,Q$123-$S137+1-$B$22&lt;=8),INDEX($C$27:$J$27,1,Q$123-$S137+1-$B$22),0)*$U137*Q$124</f>
        <v>0</v>
      </c>
      <c r="S137" s="23" t="n">
        <f aca="false">$B$20+5</f>
        <v>2032</v>
      </c>
      <c r="T137" s="22" t="n">
        <f aca="false">IF($S137&gt;$B$20+Scenarios!$E$8-1,0,$B$19*(1+$B$21*Scenarios!$E$7)^5)</f>
        <v>115927.40743</v>
      </c>
      <c r="U137" s="24" t="n">
        <f aca="false">IFERROR($T137/INDEX($C$124:$Q$124,1,MATCH($S137,$C$123:$Q$123,0)),0)</f>
        <v>278.436763080397</v>
      </c>
      <c r="V137" s="24" t="n">
        <f aca="false">SUMPRODUCT(($C$25:$J$25&lt;=$Q$123-$S137+1-$B$22)*$C$27:$J$27)*$U137</f>
        <v>278.436763080397</v>
      </c>
      <c r="W137" s="24" t="n">
        <f aca="false">$U137-$V137</f>
        <v>0</v>
      </c>
    </row>
    <row r="138" customFormat="false" ht="15" hidden="false" customHeight="false" outlineLevel="0" collapsed="false">
      <c r="A138" s="2" t="s">
        <v>120</v>
      </c>
      <c r="C138" s="22" t="n">
        <f aca="false">IF(AND(C$123-$S138+1-$B$22&gt;=1,C$123-$S138+1-$B$22&lt;=8),INDEX($C$27:$J$27,1,C$123-$S138+1-$B$22),0)*$U138*C$124</f>
        <v>0</v>
      </c>
      <c r="D138" s="22" t="n">
        <f aca="false">IF(AND(D$123-$S138+1-$B$22&gt;=1,D$123-$S138+1-$B$22&lt;=8),INDEX($C$27:$J$27,1,D$123-$S138+1-$B$22),0)*$U138*D$124</f>
        <v>0</v>
      </c>
      <c r="E138" s="22" t="n">
        <f aca="false">IF(AND(E$123-$S138+1-$B$22&gt;=1,E$123-$S138+1-$B$22&lt;=8),INDEX($C$27:$J$27,1,E$123-$S138+1-$B$22),0)*$U138*E$124</f>
        <v>0</v>
      </c>
      <c r="F138" s="22" t="n">
        <f aca="false">IF(AND(F$123-$S138+1-$B$22&gt;=1,F$123-$S138+1-$B$22&lt;=8),INDEX($C$27:$J$27,1,F$123-$S138+1-$B$22),0)*$U138*F$124</f>
        <v>0</v>
      </c>
      <c r="G138" s="22" t="n">
        <f aca="false">IF(AND(G$123-$S138+1-$B$22&gt;=1,G$123-$S138+1-$B$22&lt;=8),INDEX($C$27:$J$27,1,G$123-$S138+1-$B$22),0)*$U138*G$124</f>
        <v>0</v>
      </c>
      <c r="H138" s="22" t="n">
        <f aca="false">IF(AND(H$123-$S138+1-$B$22&gt;=1,H$123-$S138+1-$B$22&lt;=8),INDEX($C$27:$J$27,1,H$123-$S138+1-$B$22),0)*$U138*H$124</f>
        <v>0</v>
      </c>
      <c r="I138" s="22" t="n">
        <f aca="false">IF(AND(I$123-$S138+1-$B$22&gt;=1,I$123-$S138+1-$B$22&lt;=8),INDEX($C$27:$J$27,1,I$123-$S138+1-$B$22),0)*$U138*I$124</f>
        <v>0</v>
      </c>
      <c r="J138" s="22" t="n">
        <f aca="false">IF(AND(J$123-$S138+1-$B$22&gt;=1,J$123-$S138+1-$B$22&lt;=8),INDEX($C$27:$J$27,1,J$123-$S138+1-$B$22),0)*$U138*J$124</f>
        <v>0</v>
      </c>
      <c r="K138" s="22" t="n">
        <f aca="false">IF(AND(K$123-$S138+1-$B$22&gt;=1,K$123-$S138+1-$B$22&lt;=8),INDEX($C$27:$J$27,1,K$123-$S138+1-$B$22),0)*$U138*K$124</f>
        <v>27463.202820167</v>
      </c>
      <c r="L138" s="22" t="n">
        <f aca="false">IF(AND(L$123-$S138+1-$B$22&gt;=1,L$123-$S138+1-$B$22&lt;=8),INDEX($C$27:$J$27,1,L$123-$S138+1-$B$22),0)*$U138*L$124</f>
        <v>31582.6832431921</v>
      </c>
      <c r="M138" s="22" t="n">
        <f aca="false">IF(AND(M$123-$S138+1-$B$22&gt;=1,M$123-$S138+1-$B$22&lt;=8),INDEX($C$27:$J$27,1,M$123-$S138+1-$B$22),0)*$U138*M$124</f>
        <v>36320.0857296709</v>
      </c>
      <c r="N138" s="22" t="n">
        <f aca="false">IF(AND(N$123-$S138+1-$B$22&gt;=1,N$123-$S138+1-$B$22&lt;=8),INDEX($C$27:$J$27,1,N$123-$S138+1-$B$22),0)*$U138*N$124</f>
        <v>41768.0985891215</v>
      </c>
      <c r="O138" s="22" t="n">
        <f aca="false">IF(AND(O$123-$S138+1-$B$22&gt;=1,O$123-$S138+1-$B$22&lt;=8),INDEX($C$27:$J$27,1,O$123-$S138+1-$B$22),0)*$U138*O$124</f>
        <v>48033.3133774897</v>
      </c>
      <c r="P138" s="22" t="n">
        <f aca="false">IF(AND(P$123-$S138+1-$B$22&gt;=1,P$123-$S138+1-$B$22&lt;=8),INDEX($C$27:$J$27,1,P$123-$S138+1-$B$22),0)*$U138*P$124</f>
        <v>0</v>
      </c>
      <c r="Q138" s="22" t="n">
        <f aca="false">IF(AND(Q$123-$S138+1-$B$22&gt;=1,Q$123-$S138+1-$B$22&lt;=8),INDEX($C$27:$J$27,1,Q$123-$S138+1-$B$22),0)*$U138*Q$124</f>
        <v>0</v>
      </c>
      <c r="S138" s="23" t="n">
        <f aca="false">$B$20+6</f>
        <v>2033</v>
      </c>
      <c r="T138" s="22" t="n">
        <f aca="false">IF($S138&gt;$B$20+Scenarios!$E$8-1,0,$B$19*(1+$B$21*Scenarios!$E$7)^6)</f>
        <v>119405.2296529</v>
      </c>
      <c r="U138" s="24" t="n">
        <f aca="false">IFERROR($T138/INDEX($C$124:$Q$124,1,MATCH($S138,$C$123:$Q$123,0)),0)</f>
        <v>249.382492150268</v>
      </c>
      <c r="V138" s="24" t="n">
        <f aca="false">SUMPRODUCT(($C$25:$J$25&lt;=$Q$123-$S138+1-$B$22)*$C$27:$J$27)*$U138</f>
        <v>249.382492150268</v>
      </c>
      <c r="W138" s="24" t="n">
        <f aca="false">$U138-$V138</f>
        <v>0</v>
      </c>
    </row>
    <row r="139" customFormat="false" ht="15" hidden="false" customHeight="false" outlineLevel="0" collapsed="false">
      <c r="A139" s="2" t="s">
        <v>121</v>
      </c>
      <c r="C139" s="22" t="n">
        <f aca="false">IF(AND(C$123-$S139+1-$B$22&gt;=1,C$123-$S139+1-$B$22&lt;=8),INDEX($C$27:$J$27,1,C$123-$S139+1-$B$22),0)*$U139*C$124</f>
        <v>0</v>
      </c>
      <c r="D139" s="22" t="n">
        <f aca="false">IF(AND(D$123-$S139+1-$B$22&gt;=1,D$123-$S139+1-$B$22&lt;=8),INDEX($C$27:$J$27,1,D$123-$S139+1-$B$22),0)*$U139*D$124</f>
        <v>0</v>
      </c>
      <c r="E139" s="22" t="n">
        <f aca="false">IF(AND(E$123-$S139+1-$B$22&gt;=1,E$123-$S139+1-$B$22&lt;=8),INDEX($C$27:$J$27,1,E$123-$S139+1-$B$22),0)*$U139*E$124</f>
        <v>0</v>
      </c>
      <c r="F139" s="22" t="n">
        <f aca="false">IF(AND(F$123-$S139+1-$B$22&gt;=1,F$123-$S139+1-$B$22&lt;=8),INDEX($C$27:$J$27,1,F$123-$S139+1-$B$22),0)*$U139*F$124</f>
        <v>0</v>
      </c>
      <c r="G139" s="22" t="n">
        <f aca="false">IF(AND(G$123-$S139+1-$B$22&gt;=1,G$123-$S139+1-$B$22&lt;=8),INDEX($C$27:$J$27,1,G$123-$S139+1-$B$22),0)*$U139*G$124</f>
        <v>0</v>
      </c>
      <c r="H139" s="22" t="n">
        <f aca="false">IF(AND(H$123-$S139+1-$B$22&gt;=1,H$123-$S139+1-$B$22&lt;=8),INDEX($C$27:$J$27,1,H$123-$S139+1-$B$22),0)*$U139*H$124</f>
        <v>0</v>
      </c>
      <c r="I139" s="22" t="n">
        <f aca="false">IF(AND(I$123-$S139+1-$B$22&gt;=1,I$123-$S139+1-$B$22&lt;=8),INDEX($C$27:$J$27,1,I$123-$S139+1-$B$22),0)*$U139*I$124</f>
        <v>0</v>
      </c>
      <c r="J139" s="22" t="n">
        <f aca="false">IF(AND(J$123-$S139+1-$B$22&gt;=1,J$123-$S139+1-$B$22&lt;=8),INDEX($C$27:$J$27,1,J$123-$S139+1-$B$22),0)*$U139*J$124</f>
        <v>0</v>
      </c>
      <c r="K139" s="22" t="n">
        <f aca="false">IF(AND(K$123-$S139+1-$B$22&gt;=1,K$123-$S139+1-$B$22&lt;=8),INDEX($C$27:$J$27,1,K$123-$S139+1-$B$22),0)*$U139*K$124</f>
        <v>0</v>
      </c>
      <c r="L139" s="22" t="n">
        <f aca="false">IF(AND(L$123-$S139+1-$B$22&gt;=1,L$123-$S139+1-$B$22&lt;=8),INDEX($C$27:$J$27,1,L$123-$S139+1-$B$22),0)*$U139*L$124</f>
        <v>28287.098904772</v>
      </c>
      <c r="M139" s="22" t="n">
        <f aca="false">IF(AND(M$123-$S139+1-$B$22&gt;=1,M$123-$S139+1-$B$22&lt;=8),INDEX($C$27:$J$27,1,M$123-$S139+1-$B$22),0)*$U139*M$124</f>
        <v>32530.1637404878</v>
      </c>
      <c r="N139" s="22" t="n">
        <f aca="false">IF(AND(N$123-$S139+1-$B$22&gt;=1,N$123-$S139+1-$B$22&lt;=8),INDEX($C$27:$J$27,1,N$123-$S139+1-$B$22),0)*$U139*N$124</f>
        <v>37409.688301561</v>
      </c>
      <c r="O139" s="22" t="n">
        <f aca="false">IF(AND(O$123-$S139+1-$B$22&gt;=1,O$123-$S139+1-$B$22&lt;=8),INDEX($C$27:$J$27,1,O$123-$S139+1-$B$22),0)*$U139*O$124</f>
        <v>43021.1415467951</v>
      </c>
      <c r="P139" s="22" t="n">
        <f aca="false">IF(AND(P$123-$S139+1-$B$22&gt;=1,P$123-$S139+1-$B$22&lt;=8),INDEX($C$27:$J$27,1,P$123-$S139+1-$B$22),0)*$U139*P$124</f>
        <v>49474.3127788144</v>
      </c>
      <c r="Q139" s="22" t="n">
        <f aca="false">IF(AND(Q$123-$S139+1-$B$22&gt;=1,Q$123-$S139+1-$B$22&lt;=8),INDEX($C$27:$J$27,1,Q$123-$S139+1-$B$22),0)*$U139*Q$124</f>
        <v>0</v>
      </c>
      <c r="S139" s="23" t="n">
        <f aca="false">$B$20+7</f>
        <v>2034</v>
      </c>
      <c r="T139" s="22" t="n">
        <f aca="false">IF($S139&gt;$B$20+Scenarios!$E$8-1,0,$B$19*(1+$B$21*Scenarios!$E$7)^7)</f>
        <v>122987.386542487</v>
      </c>
      <c r="U139" s="24" t="n">
        <f aca="false">IFERROR($T139/INDEX($C$124:$Q$124,1,MATCH($S139,$C$123:$Q$123,0)),0)</f>
        <v>223.35997123024</v>
      </c>
      <c r="V139" s="24" t="n">
        <f aca="false">SUMPRODUCT(($C$25:$J$25&lt;=$Q$123-$S139+1-$B$22)*$C$27:$J$27)*$U139</f>
        <v>223.35997123024</v>
      </c>
      <c r="W139" s="24" t="n">
        <f aca="false">$U139-$V139</f>
        <v>0</v>
      </c>
    </row>
    <row r="140" customFormat="false" ht="15" hidden="false" customHeight="false" outlineLevel="0" collapsed="false">
      <c r="A140" s="2" t="s">
        <v>122</v>
      </c>
      <c r="C140" s="22" t="n">
        <f aca="false">IF(AND(C$123-$S140+1-$B$22&gt;=1,C$123-$S140+1-$B$22&lt;=8),INDEX($C$27:$J$27,1,C$123-$S140+1-$B$22),0)*$U140*C$124</f>
        <v>0</v>
      </c>
      <c r="D140" s="22" t="n">
        <f aca="false">IF(AND(D$123-$S140+1-$B$22&gt;=1,D$123-$S140+1-$B$22&lt;=8),INDEX($C$27:$J$27,1,D$123-$S140+1-$B$22),0)*$U140*D$124</f>
        <v>0</v>
      </c>
      <c r="E140" s="22" t="n">
        <f aca="false">IF(AND(E$123-$S140+1-$B$22&gt;=1,E$123-$S140+1-$B$22&lt;=8),INDEX($C$27:$J$27,1,E$123-$S140+1-$B$22),0)*$U140*E$124</f>
        <v>0</v>
      </c>
      <c r="F140" s="22" t="n">
        <f aca="false">IF(AND(F$123-$S140+1-$B$22&gt;=1,F$123-$S140+1-$B$22&lt;=8),INDEX($C$27:$J$27,1,F$123-$S140+1-$B$22),0)*$U140*F$124</f>
        <v>0</v>
      </c>
      <c r="G140" s="22" t="n">
        <f aca="false">IF(AND(G$123-$S140+1-$B$22&gt;=1,G$123-$S140+1-$B$22&lt;=8),INDEX($C$27:$J$27,1,G$123-$S140+1-$B$22),0)*$U140*G$124</f>
        <v>0</v>
      </c>
      <c r="H140" s="22" t="n">
        <f aca="false">IF(AND(H$123-$S140+1-$B$22&gt;=1,H$123-$S140+1-$B$22&lt;=8),INDEX($C$27:$J$27,1,H$123-$S140+1-$B$22),0)*$U140*H$124</f>
        <v>0</v>
      </c>
      <c r="I140" s="22" t="n">
        <f aca="false">IF(AND(I$123-$S140+1-$B$22&gt;=1,I$123-$S140+1-$B$22&lt;=8),INDEX($C$27:$J$27,1,I$123-$S140+1-$B$22),0)*$U140*I$124</f>
        <v>0</v>
      </c>
      <c r="J140" s="22" t="n">
        <f aca="false">IF(AND(J$123-$S140+1-$B$22&gt;=1,J$123-$S140+1-$B$22&lt;=8),INDEX($C$27:$J$27,1,J$123-$S140+1-$B$22),0)*$U140*J$124</f>
        <v>0</v>
      </c>
      <c r="K140" s="22" t="n">
        <f aca="false">IF(AND(K$123-$S140+1-$B$22&gt;=1,K$123-$S140+1-$B$22&lt;=8),INDEX($C$27:$J$27,1,K$123-$S140+1-$B$22),0)*$U140*K$124</f>
        <v>0</v>
      </c>
      <c r="L140" s="22" t="n">
        <f aca="false">IF(AND(L$123-$S140+1-$B$22&gt;=1,L$123-$S140+1-$B$22&lt;=8),INDEX($C$27:$J$27,1,L$123-$S140+1-$B$22),0)*$U140*L$124</f>
        <v>0</v>
      </c>
      <c r="M140" s="22" t="n">
        <f aca="false">IF(AND(M$123-$S140+1-$B$22&gt;=1,M$123-$S140+1-$B$22&lt;=8),INDEX($C$27:$J$27,1,M$123-$S140+1-$B$22),0)*$U140*M$124</f>
        <v>29135.7118719152</v>
      </c>
      <c r="N140" s="22" t="n">
        <f aca="false">IF(AND(N$123-$S140+1-$B$22&gt;=1,N$123-$S140+1-$B$22&lt;=8),INDEX($C$27:$J$27,1,N$123-$S140+1-$B$22),0)*$U140*N$124</f>
        <v>33506.0686527025</v>
      </c>
      <c r="O140" s="22" t="n">
        <f aca="false">IF(AND(O$123-$S140+1-$B$22&gt;=1,O$123-$S140+1-$B$22&lt;=8),INDEX($C$27:$J$27,1,O$123-$S140+1-$B$22),0)*$U140*O$124</f>
        <v>38531.9789506078</v>
      </c>
      <c r="P140" s="22" t="n">
        <f aca="false">IF(AND(P$123-$S140+1-$B$22&gt;=1,P$123-$S140+1-$B$22&lt;=8),INDEX($C$27:$J$27,1,P$123-$S140+1-$B$22),0)*$U140*P$124</f>
        <v>44311.775793199</v>
      </c>
      <c r="Q140" s="22" t="n">
        <f aca="false">IF(AND(Q$123-$S140+1-$B$22&gt;=1,Q$123-$S140+1-$B$22&lt;=8),INDEX($C$27:$J$27,1,Q$123-$S140+1-$B$22),0)*$U140*Q$124</f>
        <v>50958.5421621788</v>
      </c>
      <c r="S140" s="23" t="n">
        <f aca="false">$B$20+8</f>
        <v>2035</v>
      </c>
      <c r="T140" s="22" t="n">
        <f aca="false">IF($S140&gt;$B$20+Scenarios!$E$8-1,0,$B$19*(1+$B$21*Scenarios!$E$7)^8)</f>
        <v>126677.008138762</v>
      </c>
      <c r="U140" s="24" t="n">
        <f aca="false">IFERROR($T140/INDEX($C$124:$Q$124,1,MATCH($S140,$C$123:$Q$123,0)),0)</f>
        <v>200.05284379752</v>
      </c>
      <c r="V140" s="24" t="n">
        <f aca="false">SUMPRODUCT(($C$25:$J$25&lt;=$Q$123-$S140+1-$B$22)*$C$27:$J$27)*$U140</f>
        <v>200.05284379752</v>
      </c>
      <c r="W140" s="24" t="n">
        <f aca="false">$U140-$V140</f>
        <v>0</v>
      </c>
    </row>
    <row r="141" customFormat="false" ht="15" hidden="false" customHeight="false" outlineLevel="0" collapsed="false">
      <c r="A141" s="2" t="s">
        <v>123</v>
      </c>
      <c r="C141" s="22" t="n">
        <f aca="false">IF(AND(C$123-$S141+1-$B$22&gt;=1,C$123-$S141+1-$B$22&lt;=8),INDEX($C$27:$J$27,1,C$123-$S141+1-$B$22),0)*$U141*C$124</f>
        <v>0</v>
      </c>
      <c r="D141" s="22" t="n">
        <f aca="false">IF(AND(D$123-$S141+1-$B$22&gt;=1,D$123-$S141+1-$B$22&lt;=8),INDEX($C$27:$J$27,1,D$123-$S141+1-$B$22),0)*$U141*D$124</f>
        <v>0</v>
      </c>
      <c r="E141" s="22" t="n">
        <f aca="false">IF(AND(E$123-$S141+1-$B$22&gt;=1,E$123-$S141+1-$B$22&lt;=8),INDEX($C$27:$J$27,1,E$123-$S141+1-$B$22),0)*$U141*E$124</f>
        <v>0</v>
      </c>
      <c r="F141" s="22" t="n">
        <f aca="false">IF(AND(F$123-$S141+1-$B$22&gt;=1,F$123-$S141+1-$B$22&lt;=8),INDEX($C$27:$J$27,1,F$123-$S141+1-$B$22),0)*$U141*F$124</f>
        <v>0</v>
      </c>
      <c r="G141" s="22" t="n">
        <f aca="false">IF(AND(G$123-$S141+1-$B$22&gt;=1,G$123-$S141+1-$B$22&lt;=8),INDEX($C$27:$J$27,1,G$123-$S141+1-$B$22),0)*$U141*G$124</f>
        <v>0</v>
      </c>
      <c r="H141" s="22" t="n">
        <f aca="false">IF(AND(H$123-$S141+1-$B$22&gt;=1,H$123-$S141+1-$B$22&lt;=8),INDEX($C$27:$J$27,1,H$123-$S141+1-$B$22),0)*$U141*H$124</f>
        <v>0</v>
      </c>
      <c r="I141" s="22" t="n">
        <f aca="false">IF(AND(I$123-$S141+1-$B$22&gt;=1,I$123-$S141+1-$B$22&lt;=8),INDEX($C$27:$J$27,1,I$123-$S141+1-$B$22),0)*$U141*I$124</f>
        <v>0</v>
      </c>
      <c r="J141" s="22" t="n">
        <f aca="false">IF(AND(J$123-$S141+1-$B$22&gt;=1,J$123-$S141+1-$B$22&lt;=8),INDEX($C$27:$J$27,1,J$123-$S141+1-$B$22),0)*$U141*J$124</f>
        <v>0</v>
      </c>
      <c r="K141" s="22" t="n">
        <f aca="false">IF(AND(K$123-$S141+1-$B$22&gt;=1,K$123-$S141+1-$B$22&lt;=8),INDEX($C$27:$J$27,1,K$123-$S141+1-$B$22),0)*$U141*K$124</f>
        <v>0</v>
      </c>
      <c r="L141" s="22" t="n">
        <f aca="false">IF(AND(L$123-$S141+1-$B$22&gt;=1,L$123-$S141+1-$B$22&lt;=8),INDEX($C$27:$J$27,1,L$123-$S141+1-$B$22),0)*$U141*L$124</f>
        <v>0</v>
      </c>
      <c r="M141" s="22" t="n">
        <f aca="false">IF(AND(M$123-$S141+1-$B$22&gt;=1,M$123-$S141+1-$B$22&lt;=8),INDEX($C$27:$J$27,1,M$123-$S141+1-$B$22),0)*$U141*M$124</f>
        <v>0</v>
      </c>
      <c r="N141" s="22" t="n">
        <f aca="false">IF(AND(N$123-$S141+1-$B$22&gt;=1,N$123-$S141+1-$B$22&lt;=8),INDEX($C$27:$J$27,1,N$123-$S141+1-$B$22),0)*$U141*N$124</f>
        <v>30009.7832280726</v>
      </c>
      <c r="O141" s="22" t="n">
        <f aca="false">IF(AND(O$123-$S141+1-$B$22&gt;=1,O$123-$S141+1-$B$22&lt;=8),INDEX($C$27:$J$27,1,O$123-$S141+1-$B$22),0)*$U141*O$124</f>
        <v>34511.2507122835</v>
      </c>
      <c r="P141" s="22" t="n">
        <f aca="false">IF(AND(P$123-$S141+1-$B$22&gt;=1,P$123-$S141+1-$B$22&lt;=8),INDEX($C$27:$J$27,1,P$123-$S141+1-$B$22),0)*$U141*P$124</f>
        <v>39687.9383191261</v>
      </c>
      <c r="Q141" s="22" t="n">
        <f aca="false">IF(AND(Q$123-$S141+1-$B$22&gt;=1,Q$123-$S141+1-$B$22&lt;=8),INDEX($C$27:$J$27,1,Q$123-$S141+1-$B$22),0)*$U141*Q$124</f>
        <v>45641.129066995</v>
      </c>
      <c r="S141" s="23" t="n">
        <f aca="false">$B$20+9</f>
        <v>2036</v>
      </c>
      <c r="T141" s="22" t="n">
        <f aca="false">IF($S141&gt;$B$20+Scenarios!$E$8-1,0,$B$19*(1+$B$21*Scenarios!$E$7)^9)</f>
        <v>130477.318382925</v>
      </c>
      <c r="U141" s="24" t="n">
        <f aca="false">IFERROR($T141/INDEX($C$124:$Q$124,1,MATCH($S141,$C$123:$Q$123,0)),0)</f>
        <v>179.177764444735</v>
      </c>
      <c r="V141" s="24" t="n">
        <f aca="false">SUMPRODUCT(($C$25:$J$25&lt;=$Q$123-$S141+1-$B$22)*$C$27:$J$27)*$U141</f>
        <v>143.342211555788</v>
      </c>
      <c r="W141" s="24" t="n">
        <f aca="false">$U141-$V141</f>
        <v>35.835552888947</v>
      </c>
    </row>
    <row r="142" customFormat="false" ht="15" hidden="false" customHeight="false" outlineLevel="0" collapsed="false">
      <c r="A142" s="2" t="s">
        <v>124</v>
      </c>
      <c r="C142" s="22" t="n">
        <f aca="false">IF(AND(C$123-$S142+1-$B$22&gt;=1,C$123-$S142+1-$B$22&lt;=8),INDEX($C$27:$J$27,1,C$123-$S142+1-$B$22),0)*$U142*C$124</f>
        <v>0</v>
      </c>
      <c r="D142" s="22" t="n">
        <f aca="false">IF(AND(D$123-$S142+1-$B$22&gt;=1,D$123-$S142+1-$B$22&lt;=8),INDEX($C$27:$J$27,1,D$123-$S142+1-$B$22),0)*$U142*D$124</f>
        <v>0</v>
      </c>
      <c r="E142" s="22" t="n">
        <f aca="false">IF(AND(E$123-$S142+1-$B$22&gt;=1,E$123-$S142+1-$B$22&lt;=8),INDEX($C$27:$J$27,1,E$123-$S142+1-$B$22),0)*$U142*E$124</f>
        <v>0</v>
      </c>
      <c r="F142" s="22" t="n">
        <f aca="false">IF(AND(F$123-$S142+1-$B$22&gt;=1,F$123-$S142+1-$B$22&lt;=8),INDEX($C$27:$J$27,1,F$123-$S142+1-$B$22),0)*$U142*F$124</f>
        <v>0</v>
      </c>
      <c r="G142" s="22" t="n">
        <f aca="false">IF(AND(G$123-$S142+1-$B$22&gt;=1,G$123-$S142+1-$B$22&lt;=8),INDEX($C$27:$J$27,1,G$123-$S142+1-$B$22),0)*$U142*G$124</f>
        <v>0</v>
      </c>
      <c r="H142" s="22" t="n">
        <f aca="false">IF(AND(H$123-$S142+1-$B$22&gt;=1,H$123-$S142+1-$B$22&lt;=8),INDEX($C$27:$J$27,1,H$123-$S142+1-$B$22),0)*$U142*H$124</f>
        <v>0</v>
      </c>
      <c r="I142" s="22" t="n">
        <f aca="false">IF(AND(I$123-$S142+1-$B$22&gt;=1,I$123-$S142+1-$B$22&lt;=8),INDEX($C$27:$J$27,1,I$123-$S142+1-$B$22),0)*$U142*I$124</f>
        <v>0</v>
      </c>
      <c r="J142" s="22" t="n">
        <f aca="false">IF(AND(J$123-$S142+1-$B$22&gt;=1,J$123-$S142+1-$B$22&lt;=8),INDEX($C$27:$J$27,1,J$123-$S142+1-$B$22),0)*$U142*J$124</f>
        <v>0</v>
      </c>
      <c r="K142" s="22" t="n">
        <f aca="false">IF(AND(K$123-$S142+1-$B$22&gt;=1,K$123-$S142+1-$B$22&lt;=8),INDEX($C$27:$J$27,1,K$123-$S142+1-$B$22),0)*$U142*K$124</f>
        <v>0</v>
      </c>
      <c r="L142" s="22" t="n">
        <f aca="false">IF(AND(L$123-$S142+1-$B$22&gt;=1,L$123-$S142+1-$B$22&lt;=8),INDEX($C$27:$J$27,1,L$123-$S142+1-$B$22),0)*$U142*L$124</f>
        <v>0</v>
      </c>
      <c r="M142" s="22" t="n">
        <f aca="false">IF(AND(M$123-$S142+1-$B$22&gt;=1,M$123-$S142+1-$B$22&lt;=8),INDEX($C$27:$J$27,1,M$123-$S142+1-$B$22),0)*$U142*M$124</f>
        <v>0</v>
      </c>
      <c r="N142" s="22" t="n">
        <f aca="false">IF(AND(N$123-$S142+1-$B$22&gt;=1,N$123-$S142+1-$B$22&lt;=8),INDEX($C$27:$J$27,1,N$123-$S142+1-$B$22),0)*$U142*N$124</f>
        <v>0</v>
      </c>
      <c r="O142" s="22" t="n">
        <f aca="false">IF(AND(O$123-$S142+1-$B$22&gt;=1,O$123-$S142+1-$B$22&lt;=8),INDEX($C$27:$J$27,1,O$123-$S142+1-$B$22),0)*$U142*O$124</f>
        <v>30910.0767249148</v>
      </c>
      <c r="P142" s="22" t="n">
        <f aca="false">IF(AND(P$123-$S142+1-$B$22&gt;=1,P$123-$S142+1-$B$22&lt;=8),INDEX($C$27:$J$27,1,P$123-$S142+1-$B$22),0)*$U142*P$124</f>
        <v>35546.588233652</v>
      </c>
      <c r="Q142" s="22" t="n">
        <f aca="false">IF(AND(Q$123-$S142+1-$B$22&gt;=1,Q$123-$S142+1-$B$22&lt;=8),INDEX($C$27:$J$27,1,Q$123-$S142+1-$B$22),0)*$U142*Q$124</f>
        <v>40878.5764686998</v>
      </c>
      <c r="S142" s="23" t="n">
        <f aca="false">$B$20+10</f>
        <v>2037</v>
      </c>
      <c r="T142" s="22" t="n">
        <f aca="false">IF($S142&gt;$B$20+Scenarios!$E$8-1,0,$B$19*(1+$B$21*Scenarios!$E$7)^10)</f>
        <v>134391.637934412</v>
      </c>
      <c r="U142" s="24" t="n">
        <f aca="false">IFERROR($T142/INDEX($C$124:$Q$124,1,MATCH($S142,$C$123:$Q$123,0)),0)</f>
        <v>160.480954241806</v>
      </c>
      <c r="V142" s="24" t="n">
        <f aca="false">SUMPRODUCT(($C$25:$J$25&lt;=$Q$123-$S142+1-$B$22)*$C$27:$J$27)*$U142</f>
        <v>96.2885725450837</v>
      </c>
      <c r="W142" s="24" t="n">
        <f aca="false">$U142-$V142</f>
        <v>64.1923816967225</v>
      </c>
    </row>
    <row r="143" customFormat="false" ht="15" hidden="false" customHeight="false" outlineLevel="0" collapsed="false">
      <c r="A143" s="2" t="s">
        <v>125</v>
      </c>
      <c r="C143" s="22" t="n">
        <f aca="false">IF(AND(C$123-$S143+1-$B$22&gt;=1,C$123-$S143+1-$B$22&lt;=8),INDEX($C$27:$J$27,1,C$123-$S143+1-$B$22),0)*$U143*C$124</f>
        <v>0</v>
      </c>
      <c r="D143" s="22" t="n">
        <f aca="false">IF(AND(D$123-$S143+1-$B$22&gt;=1,D$123-$S143+1-$B$22&lt;=8),INDEX($C$27:$J$27,1,D$123-$S143+1-$B$22),0)*$U143*D$124</f>
        <v>0</v>
      </c>
      <c r="E143" s="22" t="n">
        <f aca="false">IF(AND(E$123-$S143+1-$B$22&gt;=1,E$123-$S143+1-$B$22&lt;=8),INDEX($C$27:$J$27,1,E$123-$S143+1-$B$22),0)*$U143*E$124</f>
        <v>0</v>
      </c>
      <c r="F143" s="22" t="n">
        <f aca="false">IF(AND(F$123-$S143+1-$B$22&gt;=1,F$123-$S143+1-$B$22&lt;=8),INDEX($C$27:$J$27,1,F$123-$S143+1-$B$22),0)*$U143*F$124</f>
        <v>0</v>
      </c>
      <c r="G143" s="22" t="n">
        <f aca="false">IF(AND(G$123-$S143+1-$B$22&gt;=1,G$123-$S143+1-$B$22&lt;=8),INDEX($C$27:$J$27,1,G$123-$S143+1-$B$22),0)*$U143*G$124</f>
        <v>0</v>
      </c>
      <c r="H143" s="22" t="n">
        <f aca="false">IF(AND(H$123-$S143+1-$B$22&gt;=1,H$123-$S143+1-$B$22&lt;=8),INDEX($C$27:$J$27,1,H$123-$S143+1-$B$22),0)*$U143*H$124</f>
        <v>0</v>
      </c>
      <c r="I143" s="22" t="n">
        <f aca="false">IF(AND(I$123-$S143+1-$B$22&gt;=1,I$123-$S143+1-$B$22&lt;=8),INDEX($C$27:$J$27,1,I$123-$S143+1-$B$22),0)*$U143*I$124</f>
        <v>0</v>
      </c>
      <c r="J143" s="22" t="n">
        <f aca="false">IF(AND(J$123-$S143+1-$B$22&gt;=1,J$123-$S143+1-$B$22&lt;=8),INDEX($C$27:$J$27,1,J$123-$S143+1-$B$22),0)*$U143*J$124</f>
        <v>0</v>
      </c>
      <c r="K143" s="22" t="n">
        <f aca="false">IF(AND(K$123-$S143+1-$B$22&gt;=1,K$123-$S143+1-$B$22&lt;=8),INDEX($C$27:$J$27,1,K$123-$S143+1-$B$22),0)*$U143*K$124</f>
        <v>0</v>
      </c>
      <c r="L143" s="22" t="n">
        <f aca="false">IF(AND(L$123-$S143+1-$B$22&gt;=1,L$123-$S143+1-$B$22&lt;=8),INDEX($C$27:$J$27,1,L$123-$S143+1-$B$22),0)*$U143*L$124</f>
        <v>0</v>
      </c>
      <c r="M143" s="22" t="n">
        <f aca="false">IF(AND(M$123-$S143+1-$B$22&gt;=1,M$123-$S143+1-$B$22&lt;=8),INDEX($C$27:$J$27,1,M$123-$S143+1-$B$22),0)*$U143*M$124</f>
        <v>0</v>
      </c>
      <c r="N143" s="22" t="n">
        <f aca="false">IF(AND(N$123-$S143+1-$B$22&gt;=1,N$123-$S143+1-$B$22&lt;=8),INDEX($C$27:$J$27,1,N$123-$S143+1-$B$22),0)*$U143*N$124</f>
        <v>0</v>
      </c>
      <c r="O143" s="22" t="n">
        <f aca="false">IF(AND(O$123-$S143+1-$B$22&gt;=1,O$123-$S143+1-$B$22&lt;=8),INDEX($C$27:$J$27,1,O$123-$S143+1-$B$22),0)*$U143*O$124</f>
        <v>0</v>
      </c>
      <c r="P143" s="22" t="n">
        <f aca="false">IF(AND(P$123-$S143+1-$B$22&gt;=1,P$123-$S143+1-$B$22&lt;=8),INDEX($C$27:$J$27,1,P$123-$S143+1-$B$22),0)*$U143*P$124</f>
        <v>31837.3790266623</v>
      </c>
      <c r="Q143" s="22" t="n">
        <f aca="false">IF(AND(Q$123-$S143+1-$B$22&gt;=1,Q$123-$S143+1-$B$22&lt;=8),INDEX($C$27:$J$27,1,Q$123-$S143+1-$B$22),0)*$U143*Q$124</f>
        <v>36612.9858806616</v>
      </c>
      <c r="S143" s="23" t="n">
        <f aca="false">$B$20+11</f>
        <v>2038</v>
      </c>
      <c r="T143" s="22" t="n">
        <f aca="false">IF($S143&gt;$B$20+Scenarios!$E$8-1,0,$B$19*(1+$B$21*Scenarios!$E$7)^11)</f>
        <v>138423.387072445</v>
      </c>
      <c r="U143" s="24" t="n">
        <f aca="false">IFERROR($T143/INDEX($C$124:$Q$124,1,MATCH($S143,$C$123:$Q$123,0)),0)</f>
        <v>143.735115538313</v>
      </c>
      <c r="V143" s="24" t="n">
        <f aca="false">SUMPRODUCT(($C$25:$J$25&lt;=$Q$123-$S143+1-$B$22)*$C$27:$J$27)*$U143</f>
        <v>57.4940462153254</v>
      </c>
      <c r="W143" s="24" t="n">
        <f aca="false">$U143-$V143</f>
        <v>86.241069322988</v>
      </c>
    </row>
    <row r="145" customFormat="false" ht="15" hidden="false" customHeight="false" outlineLevel="0" collapsed="false">
      <c r="A145" s="2" t="s">
        <v>126</v>
      </c>
      <c r="C145" s="22" t="n">
        <f aca="false">C131</f>
        <v>0</v>
      </c>
      <c r="D145" s="22" t="n">
        <f aca="false">D131</f>
        <v>115000</v>
      </c>
      <c r="E145" s="22" t="n">
        <f aca="false">E131</f>
        <v>132250</v>
      </c>
      <c r="F145" s="22" t="n">
        <f aca="false">F131</f>
        <v>152087.5</v>
      </c>
      <c r="G145" s="22" t="n">
        <f aca="false">G131</f>
        <v>174900.625</v>
      </c>
      <c r="H145" s="22" t="n">
        <f aca="false">H131</f>
        <v>201135.71875</v>
      </c>
      <c r="I145" s="22" t="n">
        <f aca="false">I131</f>
        <v>0</v>
      </c>
      <c r="J145" s="22" t="n">
        <f aca="false">J131</f>
        <v>0</v>
      </c>
      <c r="K145" s="22" t="n">
        <f aca="false">K131</f>
        <v>0</v>
      </c>
      <c r="L145" s="22" t="n">
        <f aca="false">L131</f>
        <v>0</v>
      </c>
      <c r="M145" s="22" t="n">
        <f aca="false">M131</f>
        <v>0</v>
      </c>
      <c r="N145" s="22" t="n">
        <f aca="false">N131</f>
        <v>0</v>
      </c>
      <c r="O145" s="22" t="n">
        <f aca="false">O131</f>
        <v>0</v>
      </c>
      <c r="P145" s="22" t="n">
        <f aca="false">P131</f>
        <v>0</v>
      </c>
      <c r="Q145" s="22" t="n">
        <f aca="false">Q131</f>
        <v>0</v>
      </c>
    </row>
    <row r="146" customFormat="false" ht="15" hidden="false" customHeight="false" outlineLevel="0" collapsed="false">
      <c r="A146" s="2" t="s">
        <v>127</v>
      </c>
      <c r="C146" s="22" t="n">
        <f aca="false">SUM(C132:C143)</f>
        <v>0</v>
      </c>
      <c r="D146" s="22" t="n">
        <f aca="false">SUM(D132:D143)</f>
        <v>0</v>
      </c>
      <c r="E146" s="22" t="n">
        <f aca="false">SUM(E132:E143)</f>
        <v>23000</v>
      </c>
      <c r="F146" s="22" t="n">
        <f aca="false">SUM(F132:F143)</f>
        <v>50140</v>
      </c>
      <c r="G146" s="22" t="n">
        <f aca="false">SUM(G132:G143)</f>
        <v>82061.7</v>
      </c>
      <c r="H146" s="22" t="n">
        <f aca="false">SUM(H132:H143)</f>
        <v>119503.676</v>
      </c>
      <c r="I146" s="22" t="n">
        <f aca="false">SUM(I132:I143)</f>
        <v>163315.93003</v>
      </c>
      <c r="J146" s="22" t="n">
        <f aca="false">SUM(J132:J143)</f>
        <v>168215.4079309</v>
      </c>
      <c r="K146" s="22" t="n">
        <f aca="false">SUM(K132:K143)</f>
        <v>173261.870168827</v>
      </c>
      <c r="L146" s="22" t="n">
        <f aca="false">SUM(L132:L143)</f>
        <v>178459.726273892</v>
      </c>
      <c r="M146" s="22" t="n">
        <f aca="false">SUM(M132:M143)</f>
        <v>183813.518062109</v>
      </c>
      <c r="N146" s="22" t="n">
        <f aca="false">SUM(N132:N143)</f>
        <v>189327.923603972</v>
      </c>
      <c r="O146" s="22" t="n">
        <f aca="false">SUM(O132:O143)</f>
        <v>195007.761312091</v>
      </c>
      <c r="P146" s="22" t="n">
        <f aca="false">SUM(P132:P143)</f>
        <v>200857.994151454</v>
      </c>
      <c r="Q146" s="22" t="n">
        <f aca="false">SUM(Q132:Q143)</f>
        <v>174091.233578535</v>
      </c>
    </row>
    <row r="147" customFormat="false" ht="15" hidden="false" customHeight="false" outlineLevel="0" collapsed="false">
      <c r="A147" s="3" t="s">
        <v>128</v>
      </c>
      <c r="C147" s="25" t="n">
        <f aca="false">C145+C146</f>
        <v>0</v>
      </c>
      <c r="D147" s="25" t="n">
        <f aca="false">D145+D146</f>
        <v>115000</v>
      </c>
      <c r="E147" s="25" t="n">
        <f aca="false">E145+E146</f>
        <v>155250</v>
      </c>
      <c r="F147" s="25" t="n">
        <f aca="false">F145+F146</f>
        <v>202227.5</v>
      </c>
      <c r="G147" s="25" t="n">
        <f aca="false">G145+G146</f>
        <v>256962.325</v>
      </c>
      <c r="H147" s="25" t="n">
        <f aca="false">H145+H146</f>
        <v>320639.39475</v>
      </c>
      <c r="I147" s="25" t="n">
        <f aca="false">I145+I146</f>
        <v>163315.93003</v>
      </c>
      <c r="J147" s="25" t="n">
        <f aca="false">J145+J146</f>
        <v>168215.4079309</v>
      </c>
      <c r="K147" s="25" t="n">
        <f aca="false">K145+K146</f>
        <v>173261.870168827</v>
      </c>
      <c r="L147" s="25" t="n">
        <f aca="false">L145+L146</f>
        <v>178459.726273892</v>
      </c>
      <c r="M147" s="25" t="n">
        <f aca="false">M145+M146</f>
        <v>183813.518062109</v>
      </c>
      <c r="N147" s="25" t="n">
        <f aca="false">N145+N146</f>
        <v>189327.923603972</v>
      </c>
      <c r="O147" s="25" t="n">
        <f aca="false">O145+O146</f>
        <v>195007.761312091</v>
      </c>
      <c r="P147" s="25" t="n">
        <f aca="false">P145+P146</f>
        <v>200857.994151454</v>
      </c>
      <c r="Q147" s="25" t="n">
        <f aca="false">Q145+Q146</f>
        <v>174091.233578535</v>
      </c>
    </row>
    <row r="148" customFormat="false" ht="15" hidden="false" customHeight="false" outlineLevel="0" collapsed="false">
      <c r="A148" s="2" t="s">
        <v>129</v>
      </c>
      <c r="C148" s="23" t="n">
        <f aca="false">SUMPRODUCT((C131:C143&gt;0)*1)</f>
        <v>0</v>
      </c>
      <c r="D148" s="23" t="n">
        <f aca="false">SUMPRODUCT((D131:D143&gt;0)*1)</f>
        <v>1</v>
      </c>
      <c r="E148" s="23" t="n">
        <f aca="false">SUMPRODUCT((E131:E143&gt;0)*1)</f>
        <v>2</v>
      </c>
      <c r="F148" s="23" t="n">
        <f aca="false">SUMPRODUCT((F131:F143&gt;0)*1)</f>
        <v>3</v>
      </c>
      <c r="G148" s="23" t="n">
        <f aca="false">SUMPRODUCT((G131:G143&gt;0)*1)</f>
        <v>4</v>
      </c>
      <c r="H148" s="23" t="n">
        <f aca="false">SUMPRODUCT((H131:H143&gt;0)*1)</f>
        <v>5</v>
      </c>
      <c r="I148" s="23" t="n">
        <f aca="false">SUMPRODUCT((I131:I143&gt;0)*1)</f>
        <v>5</v>
      </c>
      <c r="J148" s="23" t="n">
        <f aca="false">SUMPRODUCT((J131:J143&gt;0)*1)</f>
        <v>5</v>
      </c>
      <c r="K148" s="23" t="n">
        <f aca="false">SUMPRODUCT((K131:K143&gt;0)*1)</f>
        <v>5</v>
      </c>
      <c r="L148" s="23" t="n">
        <f aca="false">SUMPRODUCT((L131:L143&gt;0)*1)</f>
        <v>5</v>
      </c>
      <c r="M148" s="23" t="n">
        <f aca="false">SUMPRODUCT((M131:M143&gt;0)*1)</f>
        <v>5</v>
      </c>
      <c r="N148" s="23" t="n">
        <f aca="false">SUMPRODUCT((N131:N143&gt;0)*1)</f>
        <v>5</v>
      </c>
      <c r="O148" s="23" t="n">
        <f aca="false">SUMPRODUCT((O131:O143&gt;0)*1)</f>
        <v>5</v>
      </c>
      <c r="P148" s="23" t="n">
        <f aca="false">SUMPRODUCT((P131:P143&gt;0)*1)</f>
        <v>5</v>
      </c>
      <c r="Q148" s="23" t="n">
        <f aca="false">SUMPRODUCT((Q131:Q143&gt;0)*1)</f>
        <v>4</v>
      </c>
    </row>
    <row r="150" customFormat="false" ht="15" hidden="false" customHeight="false" outlineLevel="0" collapsed="false">
      <c r="A150" s="3" t="s">
        <v>130</v>
      </c>
      <c r="C150" s="26" t="n">
        <f aca="false">C125+C127+C128+C147</f>
        <v>215000</v>
      </c>
      <c r="D150" s="26" t="n">
        <f aca="false">D125+D127+D128+D147</f>
        <v>375778.125</v>
      </c>
      <c r="E150" s="26" t="n">
        <f aca="false">E125+E127+E128+E147</f>
        <v>401638.140625</v>
      </c>
      <c r="F150" s="26" t="n">
        <f aca="false">F125+F127+F128+F147</f>
        <v>459703.106953125</v>
      </c>
      <c r="G150" s="26" t="n">
        <f aca="false">G125+G127+G128+G147</f>
        <v>526024.334266016</v>
      </c>
      <c r="H150" s="26" t="n">
        <f aca="false">H125+H127+H128+H147</f>
        <v>601809.194432986</v>
      </c>
      <c r="I150" s="26" t="n">
        <f aca="false">I125+I127+I128+I147</f>
        <v>457138.370698721</v>
      </c>
      <c r="J150" s="26" t="n">
        <f aca="false">J125+J127+J128+J147</f>
        <v>475259.858429713</v>
      </c>
      <c r="K150" s="26" t="n">
        <f aca="false">K125+K127+K128+K147</f>
        <v>494123.320940087</v>
      </c>
      <c r="L150" s="26" t="n">
        <f aca="false">L125+L127+L128+L147</f>
        <v>513759.942329858</v>
      </c>
      <c r="M150" s="26" t="n">
        <f aca="false">M125+M127+M128+M147</f>
        <v>534202.243840593</v>
      </c>
      <c r="N150" s="26" t="n">
        <f aca="false">N125+N127+N128+N147</f>
        <v>555484.142042488</v>
      </c>
      <c r="O150" s="26" t="n">
        <f aca="false">O125+O127+O128+O147</f>
        <v>577641.009580341</v>
      </c>
      <c r="P150" s="26" t="n">
        <f aca="false">P125+P127+P128+P147</f>
        <v>600709.738591775</v>
      </c>
      <c r="Q150" s="26" t="n">
        <f aca="false">Q125+Q127+Q128+Q147</f>
        <v>591936.306518671</v>
      </c>
    </row>
    <row r="151" customFormat="false" ht="15" hidden="false" customHeight="false" outlineLevel="0" collapsed="false">
      <c r="A151" s="3" t="s">
        <v>131</v>
      </c>
      <c r="C151" s="25" t="n">
        <f aca="false">C150</f>
        <v>215000</v>
      </c>
      <c r="D151" s="25" t="n">
        <f aca="false">C151+D150</f>
        <v>590778.125</v>
      </c>
      <c r="E151" s="25" t="n">
        <f aca="false">D151+E150</f>
        <v>992416.265625</v>
      </c>
      <c r="F151" s="25" t="n">
        <f aca="false">E151+F150</f>
        <v>1452119.37257813</v>
      </c>
      <c r="G151" s="25" t="n">
        <f aca="false">F151+G150</f>
        <v>1978143.70684414</v>
      </c>
      <c r="H151" s="25" t="n">
        <f aca="false">G151+H150</f>
        <v>2579952.90127713</v>
      </c>
      <c r="I151" s="25" t="n">
        <f aca="false">H151+I150</f>
        <v>3037091.27197585</v>
      </c>
      <c r="J151" s="25" t="n">
        <f aca="false">I151+J150</f>
        <v>3512351.13040556</v>
      </c>
      <c r="K151" s="25" t="n">
        <f aca="false">J151+K150</f>
        <v>4006474.45134565</v>
      </c>
      <c r="L151" s="25" t="n">
        <f aca="false">K151+L150</f>
        <v>4520234.39367551</v>
      </c>
      <c r="M151" s="25" t="n">
        <f aca="false">L151+M150</f>
        <v>5054436.6375161</v>
      </c>
      <c r="N151" s="25" t="n">
        <f aca="false">M151+N150</f>
        <v>5609920.77955859</v>
      </c>
      <c r="O151" s="25" t="n">
        <f aca="false">N151+O150</f>
        <v>6187561.78913893</v>
      </c>
      <c r="P151" s="25" t="n">
        <f aca="false">O151+P150</f>
        <v>6788271.5277307</v>
      </c>
      <c r="Q151" s="25" t="n">
        <f aca="false">P151+Q150</f>
        <v>7380207.83424937</v>
      </c>
    </row>
    <row r="153" customFormat="false" ht="15" hidden="false" customHeight="false" outlineLevel="0" collapsed="false">
      <c r="A153" s="2" t="s">
        <v>132</v>
      </c>
      <c r="B153" s="24" t="n">
        <f aca="false">SUM(W131:W143)</f>
        <v>186.269003908658</v>
      </c>
    </row>
    <row r="154" customFormat="false" ht="15" hidden="false" customHeight="false" outlineLevel="0" collapsed="false">
      <c r="A154" s="2" t="s">
        <v>133</v>
      </c>
      <c r="B154" s="22" t="n">
        <f aca="false">B153*$Q$124</f>
        <v>237237.239646379</v>
      </c>
    </row>
    <row r="160" customFormat="false" ht="17.35" hidden="false" customHeight="false" outlineLevel="0" collapsed="false">
      <c r="A160" s="1" t="s">
        <v>136</v>
      </c>
    </row>
    <row r="161" customFormat="false" ht="15" hidden="false" customHeight="false" outlineLevel="0" collapsed="false">
      <c r="A161" s="3" t="s">
        <v>102</v>
      </c>
      <c r="C161" s="17" t="n">
        <f aca="false">C33</f>
        <v>2026</v>
      </c>
      <c r="D161" s="17" t="n">
        <f aca="false">D33</f>
        <v>2027</v>
      </c>
      <c r="E161" s="17" t="n">
        <f aca="false">E33</f>
        <v>2028</v>
      </c>
      <c r="F161" s="17" t="n">
        <f aca="false">F33</f>
        <v>2029</v>
      </c>
      <c r="G161" s="17" t="n">
        <f aca="false">G33</f>
        <v>2030</v>
      </c>
      <c r="H161" s="17" t="n">
        <f aca="false">H33</f>
        <v>2031</v>
      </c>
      <c r="I161" s="17" t="n">
        <f aca="false">I33</f>
        <v>2032</v>
      </c>
      <c r="J161" s="17" t="n">
        <f aca="false">J33</f>
        <v>2033</v>
      </c>
      <c r="K161" s="17" t="n">
        <f aca="false">K33</f>
        <v>2034</v>
      </c>
      <c r="L161" s="17" t="n">
        <f aca="false">L33</f>
        <v>2035</v>
      </c>
      <c r="M161" s="17" t="n">
        <f aca="false">M33</f>
        <v>2036</v>
      </c>
      <c r="N161" s="17" t="n">
        <f aca="false">N33</f>
        <v>2037</v>
      </c>
      <c r="O161" s="17" t="n">
        <f aca="false">O33</f>
        <v>2038</v>
      </c>
      <c r="P161" s="17" t="n">
        <f aca="false">P33</f>
        <v>2039</v>
      </c>
      <c r="Q161" s="17" t="n">
        <f aca="false">Q33</f>
        <v>2040</v>
      </c>
    </row>
    <row r="162" customFormat="false" ht="15" hidden="false" customHeight="false" outlineLevel="0" collapsed="false">
      <c r="A162" s="2" t="s">
        <v>137</v>
      </c>
      <c r="C162" s="22" t="n">
        <f aca="false">C60</f>
        <v>215000</v>
      </c>
      <c r="D162" s="22" t="n">
        <f aca="false">D60</f>
        <v>339545.625</v>
      </c>
      <c r="E162" s="22" t="n">
        <f aca="false">E60</f>
        <v>337763.809375</v>
      </c>
      <c r="F162" s="22" t="n">
        <f aca="false">F60</f>
        <v>361030.266515625</v>
      </c>
      <c r="G162" s="22" t="n">
        <f aca="false">G60</f>
        <v>384345.720513359</v>
      </c>
      <c r="H162" s="22" t="n">
        <f aca="false">H60</f>
        <v>407710.90632106</v>
      </c>
      <c r="I162" s="22" t="n">
        <f aca="false">I60</f>
        <v>311126.569915876</v>
      </c>
      <c r="J162" s="22" t="n">
        <f aca="false">J60</f>
        <v>294593.468464614</v>
      </c>
      <c r="K162" s="22" t="n">
        <f aca="false">K60</f>
        <v>278112.370491583</v>
      </c>
      <c r="L162" s="22" t="n">
        <f aca="false">L60</f>
        <v>261684.056048957</v>
      </c>
      <c r="M162" s="22" t="n">
        <f aca="false">M60</f>
        <v>245309.316889691</v>
      </c>
      <c r="N162" s="22" t="n">
        <f aca="false">N60</f>
        <v>248988.956643036</v>
      </c>
      <c r="O162" s="22" t="n">
        <f aca="false">O60</f>
        <v>252723.790992682</v>
      </c>
      <c r="P162" s="22" t="n">
        <f aca="false">P60</f>
        <v>256514.647857572</v>
      </c>
      <c r="Q162" s="22" t="n">
        <f aca="false">Q60</f>
        <v>260362.367575435</v>
      </c>
    </row>
    <row r="163" customFormat="false" ht="15" hidden="false" customHeight="false" outlineLevel="0" collapsed="false">
      <c r="A163" s="2" t="s">
        <v>138</v>
      </c>
      <c r="C163" s="22" t="n">
        <f aca="false">C105</f>
        <v>215000</v>
      </c>
      <c r="D163" s="22" t="n">
        <f aca="false">D105</f>
        <v>357055</v>
      </c>
      <c r="E163" s="22" t="n">
        <f aca="false">E105</f>
        <v>367696.65</v>
      </c>
      <c r="F163" s="22" t="n">
        <f aca="false">F105</f>
        <v>406205.1495</v>
      </c>
      <c r="G163" s="22" t="n">
        <f aca="false">G105</f>
        <v>447792.335985</v>
      </c>
      <c r="H163" s="22" t="n">
        <f aca="false">H105</f>
        <v>492685.21030455</v>
      </c>
      <c r="I163" s="22" t="n">
        <f aca="false">I105</f>
        <v>391053.972965587</v>
      </c>
      <c r="J163" s="22" t="n">
        <f aca="false">J105</f>
        <v>402785.592154554</v>
      </c>
      <c r="K163" s="22" t="n">
        <f aca="false">K105</f>
        <v>414869.159919191</v>
      </c>
      <c r="L163" s="22" t="n">
        <f aca="false">L105</f>
        <v>427315.234716767</v>
      </c>
      <c r="M163" s="22" t="n">
        <f aca="false">M105</f>
        <v>440134.69175827</v>
      </c>
      <c r="N163" s="22" t="n">
        <f aca="false">N105</f>
        <v>453338.732511018</v>
      </c>
      <c r="O163" s="22" t="n">
        <f aca="false">O105</f>
        <v>466938.894486348</v>
      </c>
      <c r="P163" s="22" t="n">
        <f aca="false">P105</f>
        <v>480947.061320939</v>
      </c>
      <c r="Q163" s="22" t="n">
        <f aca="false">Q105</f>
        <v>464864.190182059</v>
      </c>
    </row>
    <row r="164" customFormat="false" ht="15" hidden="false" customHeight="false" outlineLevel="0" collapsed="false">
      <c r="A164" s="2" t="s">
        <v>139</v>
      </c>
      <c r="C164" s="22" t="n">
        <f aca="false">C150</f>
        <v>215000</v>
      </c>
      <c r="D164" s="22" t="n">
        <f aca="false">D150</f>
        <v>375778.125</v>
      </c>
      <c r="E164" s="22" t="n">
        <f aca="false">E150</f>
        <v>401638.140625</v>
      </c>
      <c r="F164" s="22" t="n">
        <f aca="false">F150</f>
        <v>459703.106953125</v>
      </c>
      <c r="G164" s="22" t="n">
        <f aca="false">G150</f>
        <v>526024.334266016</v>
      </c>
      <c r="H164" s="22" t="n">
        <f aca="false">H150</f>
        <v>601809.194432986</v>
      </c>
      <c r="I164" s="22" t="n">
        <f aca="false">I150</f>
        <v>457138.370698721</v>
      </c>
      <c r="J164" s="22" t="n">
        <f aca="false">J150</f>
        <v>475259.858429713</v>
      </c>
      <c r="K164" s="22" t="n">
        <f aca="false">K150</f>
        <v>494123.320940087</v>
      </c>
      <c r="L164" s="22" t="n">
        <f aca="false">L150</f>
        <v>513759.942329858</v>
      </c>
      <c r="M164" s="22" t="n">
        <f aca="false">M150</f>
        <v>534202.243840593</v>
      </c>
      <c r="N164" s="22" t="n">
        <f aca="false">N150</f>
        <v>555484.142042488</v>
      </c>
      <c r="O164" s="22" t="n">
        <f aca="false">O150</f>
        <v>577641.009580341</v>
      </c>
      <c r="P164" s="22" t="n">
        <f aca="false">P150</f>
        <v>600709.738591775</v>
      </c>
      <c r="Q164" s="22" t="n">
        <f aca="false">Q150</f>
        <v>591936.306518671</v>
      </c>
    </row>
    <row r="166" customFormat="false" ht="15" hidden="false" customHeight="false" outlineLevel="0" collapsed="false">
      <c r="A166" s="2" t="s">
        <v>140</v>
      </c>
      <c r="C166" s="22" t="n">
        <f aca="false">C61</f>
        <v>215000</v>
      </c>
      <c r="D166" s="22" t="n">
        <f aca="false">D61</f>
        <v>554545.625</v>
      </c>
      <c r="E166" s="22" t="n">
        <f aca="false">E61</f>
        <v>892309.434375</v>
      </c>
      <c r="F166" s="22" t="n">
        <f aca="false">F61</f>
        <v>1253339.70089063</v>
      </c>
      <c r="G166" s="22" t="n">
        <f aca="false">G61</f>
        <v>1637685.42140398</v>
      </c>
      <c r="H166" s="22" t="n">
        <f aca="false">H61</f>
        <v>2045396.32772504</v>
      </c>
      <c r="I166" s="22" t="n">
        <f aca="false">I61</f>
        <v>2356522.89764092</v>
      </c>
      <c r="J166" s="22" t="n">
        <f aca="false">J61</f>
        <v>2651116.36610553</v>
      </c>
      <c r="K166" s="22" t="n">
        <f aca="false">K61</f>
        <v>2929228.73659712</v>
      </c>
      <c r="L166" s="22" t="n">
        <f aca="false">L61</f>
        <v>3190912.79264607</v>
      </c>
      <c r="M166" s="22" t="n">
        <f aca="false">M61</f>
        <v>3436222.10953576</v>
      </c>
      <c r="N166" s="22" t="n">
        <f aca="false">N61</f>
        <v>3685211.0661788</v>
      </c>
      <c r="O166" s="22" t="n">
        <f aca="false">O61</f>
        <v>3937934.85717148</v>
      </c>
      <c r="P166" s="22" t="n">
        <f aca="false">P61</f>
        <v>4194449.50502905</v>
      </c>
      <c r="Q166" s="22" t="n">
        <f aca="false">Q61</f>
        <v>4454811.87260449</v>
      </c>
    </row>
    <row r="167" customFormat="false" ht="15" hidden="false" customHeight="false" outlineLevel="0" collapsed="false">
      <c r="A167" s="2" t="s">
        <v>141</v>
      </c>
      <c r="C167" s="22" t="n">
        <f aca="false">C106</f>
        <v>215000</v>
      </c>
      <c r="D167" s="22" t="n">
        <f aca="false">D106</f>
        <v>572055</v>
      </c>
      <c r="E167" s="22" t="n">
        <f aca="false">E106</f>
        <v>939751.65</v>
      </c>
      <c r="F167" s="22" t="n">
        <f aca="false">F106</f>
        <v>1345956.7995</v>
      </c>
      <c r="G167" s="22" t="n">
        <f aca="false">G106</f>
        <v>1793749.135485</v>
      </c>
      <c r="H167" s="22" t="n">
        <f aca="false">H106</f>
        <v>2286434.34578955</v>
      </c>
      <c r="I167" s="22" t="n">
        <f aca="false">I106</f>
        <v>2677488.31875514</v>
      </c>
      <c r="J167" s="22" t="n">
        <f aca="false">J106</f>
        <v>3080273.91090969</v>
      </c>
      <c r="K167" s="22" t="n">
        <f aca="false">K106</f>
        <v>3495143.07082888</v>
      </c>
      <c r="L167" s="22" t="n">
        <f aca="false">L106</f>
        <v>3922458.30554565</v>
      </c>
      <c r="M167" s="22" t="n">
        <f aca="false">M106</f>
        <v>4362592.99730392</v>
      </c>
      <c r="N167" s="22" t="n">
        <f aca="false">N106</f>
        <v>4815931.72981494</v>
      </c>
      <c r="O167" s="22" t="n">
        <f aca="false">O106</f>
        <v>5282870.62430128</v>
      </c>
      <c r="P167" s="22" t="n">
        <f aca="false">P106</f>
        <v>5763817.68562222</v>
      </c>
      <c r="Q167" s="22" t="n">
        <f aca="false">Q106</f>
        <v>6228681.87580428</v>
      </c>
    </row>
    <row r="168" customFormat="false" ht="15" hidden="false" customHeight="false" outlineLevel="0" collapsed="false">
      <c r="A168" s="2" t="s">
        <v>142</v>
      </c>
      <c r="C168" s="22" t="n">
        <f aca="false">C151</f>
        <v>215000</v>
      </c>
      <c r="D168" s="22" t="n">
        <f aca="false">D151</f>
        <v>590778.125</v>
      </c>
      <c r="E168" s="22" t="n">
        <f aca="false">E151</f>
        <v>992416.265625</v>
      </c>
      <c r="F168" s="22" t="n">
        <f aca="false">F151</f>
        <v>1452119.37257813</v>
      </c>
      <c r="G168" s="22" t="n">
        <f aca="false">G151</f>
        <v>1978143.70684414</v>
      </c>
      <c r="H168" s="22" t="n">
        <f aca="false">H151</f>
        <v>2579952.90127713</v>
      </c>
      <c r="I168" s="22" t="n">
        <f aca="false">I151</f>
        <v>3037091.27197585</v>
      </c>
      <c r="J168" s="22" t="n">
        <f aca="false">J151</f>
        <v>3512351.13040556</v>
      </c>
      <c r="K168" s="22" t="n">
        <f aca="false">K151</f>
        <v>4006474.45134565</v>
      </c>
      <c r="L168" s="22" t="n">
        <f aca="false">L151</f>
        <v>4520234.39367551</v>
      </c>
      <c r="M168" s="22" t="n">
        <f aca="false">M151</f>
        <v>5054436.6375161</v>
      </c>
      <c r="N168" s="22" t="n">
        <f aca="false">N151</f>
        <v>5609920.77955859</v>
      </c>
      <c r="O168" s="22" t="n">
        <f aca="false">O151</f>
        <v>6187561.78913893</v>
      </c>
      <c r="P168" s="22" t="n">
        <f aca="false">P151</f>
        <v>6788271.5277307</v>
      </c>
      <c r="Q168" s="22" t="n">
        <f aca="false">Q151</f>
        <v>7380207.83424937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5"/>
    <col collapsed="false" customWidth="true" hidden="false" outlineLevel="0" max="17" min="3" style="0" width="12"/>
    <col collapsed="false" customWidth="true" hidden="false" outlineLevel="0" max="18" min="18" style="0" width="2"/>
    <col collapsed="false" customWidth="true" hidden="false" outlineLevel="0" max="23" min="19" style="0" width="15"/>
  </cols>
  <sheetData>
    <row r="1" customFormat="false" ht="17.35" hidden="false" customHeight="false" outlineLevel="0" collapsed="false">
      <c r="A1" s="1" t="s">
        <v>149</v>
      </c>
    </row>
    <row r="2" customFormat="false" ht="15" hidden="false" customHeight="false" outlineLevel="0" collapsed="false">
      <c r="A2" s="6" t="s">
        <v>68</v>
      </c>
    </row>
    <row r="3" customFormat="false" ht="15" hidden="false" customHeight="false" outlineLevel="0" collapsed="false">
      <c r="A3" s="3" t="s">
        <v>69</v>
      </c>
    </row>
    <row r="4" customFormat="false" ht="15" hidden="false" customHeight="false" outlineLevel="0" collapsed="false">
      <c r="A4" s="2" t="s">
        <v>70</v>
      </c>
      <c r="B4" s="12" t="s">
        <v>150</v>
      </c>
    </row>
    <row r="5" customFormat="false" ht="15" hidden="false" customHeight="false" outlineLevel="0" collapsed="false">
      <c r="A5" s="2" t="s">
        <v>72</v>
      </c>
      <c r="B5" s="12" t="s">
        <v>151</v>
      </c>
    </row>
    <row r="6" customFormat="false" ht="15" hidden="false" customHeight="false" outlineLevel="0" collapsed="false">
      <c r="A6" s="2" t="s">
        <v>74</v>
      </c>
      <c r="B6" s="13" t="n">
        <v>2026</v>
      </c>
    </row>
    <row r="7" customFormat="false" ht="15" hidden="false" customHeight="false" outlineLevel="0" collapsed="false">
      <c r="A7" s="2" t="s">
        <v>75</v>
      </c>
      <c r="B7" s="14" t="n">
        <v>275000</v>
      </c>
    </row>
    <row r="8" customFormat="false" ht="15" hidden="false" customHeight="false" outlineLevel="0" collapsed="false">
      <c r="A8" s="2" t="s">
        <v>76</v>
      </c>
      <c r="B8" s="11" t="n">
        <v>0.03</v>
      </c>
    </row>
    <row r="9" customFormat="false" ht="15" hidden="false" customHeight="false" outlineLevel="0" collapsed="false">
      <c r="A9" s="2" t="s">
        <v>77</v>
      </c>
      <c r="B9" s="11" t="n">
        <v>0.22</v>
      </c>
    </row>
    <row r="10" customFormat="false" ht="15" hidden="false" customHeight="false" outlineLevel="0" collapsed="false">
      <c r="A10" s="2" t="s">
        <v>78</v>
      </c>
      <c r="B10" s="12" t="s">
        <v>79</v>
      </c>
    </row>
    <row r="11" customFormat="false" ht="15" hidden="false" customHeight="false" outlineLevel="0" collapsed="false">
      <c r="A11" s="2" t="s">
        <v>80</v>
      </c>
      <c r="B11" s="12" t="s">
        <v>152</v>
      </c>
    </row>
    <row r="12" customFormat="false" ht="15" hidden="false" customHeight="false" outlineLevel="0" collapsed="false">
      <c r="A12" s="2" t="s">
        <v>82</v>
      </c>
      <c r="B12" s="14" t="n">
        <v>0</v>
      </c>
    </row>
    <row r="13" customFormat="false" ht="15" hidden="false" customHeight="false" outlineLevel="0" collapsed="false">
      <c r="A13" s="2" t="s">
        <v>83</v>
      </c>
      <c r="B13" s="11" t="n">
        <v>0</v>
      </c>
    </row>
    <row r="14" customFormat="false" ht="15" hidden="false" customHeight="false" outlineLevel="0" collapsed="false">
      <c r="A14" s="2" t="s">
        <v>84</v>
      </c>
      <c r="B14" s="11" t="n">
        <v>0</v>
      </c>
    </row>
    <row r="15" customFormat="false" ht="15" hidden="false" customHeight="false" outlineLevel="0" collapsed="false">
      <c r="A15" s="2" t="s">
        <v>85</v>
      </c>
      <c r="B15" s="11" t="n">
        <v>0</v>
      </c>
    </row>
    <row r="16" customFormat="false" ht="15" hidden="false" customHeight="false" outlineLevel="0" collapsed="false">
      <c r="A16" s="2" t="s">
        <v>86</v>
      </c>
      <c r="B16" s="15" t="n">
        <f aca="false">SUM(B13:B15)</f>
        <v>0</v>
      </c>
      <c r="C16" s="2" t="str">
        <f aca="false">IF(ROUND(B16,6)=1,"OK","ERROR - must total 100%")</f>
        <v>ERROR - must total 100%</v>
      </c>
    </row>
    <row r="17" customFormat="false" ht="15" hidden="false" customHeight="false" outlineLevel="0" collapsed="false">
      <c r="A17" s="2" t="s">
        <v>87</v>
      </c>
      <c r="B17" s="16" t="n">
        <v>1</v>
      </c>
    </row>
    <row r="18" customFormat="false" ht="15" hidden="false" customHeight="false" outlineLevel="0" collapsed="false">
      <c r="A18" s="2" t="s">
        <v>88</v>
      </c>
      <c r="B18" s="14" t="n">
        <v>0</v>
      </c>
    </row>
    <row r="19" customFormat="false" ht="15" hidden="false" customHeight="false" outlineLevel="0" collapsed="false">
      <c r="A19" s="2" t="s">
        <v>89</v>
      </c>
      <c r="B19" s="14" t="n">
        <v>0</v>
      </c>
    </row>
    <row r="20" customFormat="false" ht="15" hidden="false" customHeight="false" outlineLevel="0" collapsed="false">
      <c r="A20" s="2" t="s">
        <v>90</v>
      </c>
      <c r="B20" s="13" t="n">
        <v>2027</v>
      </c>
    </row>
    <row r="21" customFormat="false" ht="15" hidden="false" customHeight="false" outlineLevel="0" collapsed="false">
      <c r="A21" s="2" t="s">
        <v>91</v>
      </c>
      <c r="B21" s="11" t="n">
        <v>0</v>
      </c>
    </row>
    <row r="22" customFormat="false" ht="15" hidden="false" customHeight="false" outlineLevel="0" collapsed="false">
      <c r="A22" s="2" t="s">
        <v>92</v>
      </c>
      <c r="B22" s="13" t="n">
        <v>1</v>
      </c>
    </row>
    <row r="23" customFormat="false" ht="15" hidden="false" customHeight="false" outlineLevel="0" collapsed="false">
      <c r="A23" s="6" t="s">
        <v>93</v>
      </c>
    </row>
    <row r="24" customFormat="false" ht="15" hidden="false" customHeight="false" outlineLevel="0" collapsed="false">
      <c r="A24" s="3" t="s">
        <v>94</v>
      </c>
    </row>
    <row r="25" customFormat="false" ht="15" hidden="false" customHeight="false" outlineLevel="0" collapsed="false">
      <c r="A25" s="3" t="s">
        <v>95</v>
      </c>
      <c r="C25" s="17" t="n">
        <v>1</v>
      </c>
      <c r="D25" s="17" t="n">
        <v>2</v>
      </c>
      <c r="E25" s="17" t="n">
        <v>3</v>
      </c>
      <c r="F25" s="17" t="n">
        <v>4</v>
      </c>
      <c r="G25" s="17" t="n">
        <v>5</v>
      </c>
      <c r="H25" s="17" t="n">
        <v>6</v>
      </c>
      <c r="I25" s="17" t="n">
        <v>7</v>
      </c>
      <c r="J25" s="17" t="n">
        <v>8</v>
      </c>
      <c r="K25" s="7" t="s">
        <v>96</v>
      </c>
    </row>
    <row r="26" customFormat="false" ht="15" hidden="false" customHeight="false" outlineLevel="0" collapsed="false">
      <c r="A26" s="2" t="s">
        <v>97</v>
      </c>
      <c r="C26" s="8" t="n">
        <v>0.25</v>
      </c>
      <c r="D26" s="8" t="n">
        <v>0.25</v>
      </c>
      <c r="E26" s="8" t="n">
        <v>0.25</v>
      </c>
      <c r="F26" s="8" t="n">
        <v>0.25</v>
      </c>
      <c r="G26" s="8" t="n">
        <v>0</v>
      </c>
      <c r="H26" s="8" t="n">
        <v>0</v>
      </c>
      <c r="I26" s="8" t="n">
        <v>0</v>
      </c>
      <c r="J26" s="8" t="n">
        <v>0</v>
      </c>
      <c r="K26" s="15" t="n">
        <f aca="false">SUM(C26:J26)</f>
        <v>1</v>
      </c>
      <c r="L26" s="2" t="str">
        <f aca="false">IF(ROUND(K26,6)=1,"OK","ERROR - must total 100%")</f>
        <v>OK</v>
      </c>
    </row>
    <row r="27" customFormat="false" ht="15" hidden="false" customHeight="false" outlineLevel="0" collapsed="false">
      <c r="A27" s="2" t="s">
        <v>98</v>
      </c>
      <c r="C27" s="8" t="n">
        <v>0.25</v>
      </c>
      <c r="D27" s="8" t="n">
        <v>0.25</v>
      </c>
      <c r="E27" s="8" t="n">
        <v>0.25</v>
      </c>
      <c r="F27" s="8" t="n">
        <v>0.25</v>
      </c>
      <c r="G27" s="8" t="n">
        <v>0</v>
      </c>
      <c r="H27" s="8" t="n">
        <v>0</v>
      </c>
      <c r="I27" s="8" t="n">
        <v>0</v>
      </c>
      <c r="J27" s="8" t="n">
        <v>0</v>
      </c>
      <c r="K27" s="15" t="n">
        <f aca="false">SUM(C27:J27)</f>
        <v>1</v>
      </c>
      <c r="L27" s="2" t="str">
        <f aca="false">IF(ROUND(K27,6)=1,"OK","ERROR - must total 100%")</f>
        <v>OK</v>
      </c>
    </row>
    <row r="28" customFormat="false" ht="15" hidden="false" customHeight="false" outlineLevel="0" collapsed="false">
      <c r="A28" s="6" t="s">
        <v>99</v>
      </c>
    </row>
    <row r="31" customFormat="false" ht="15" hidden="false" customHeight="false" outlineLevel="0" collapsed="false">
      <c r="A31" s="18" t="s">
        <v>100</v>
      </c>
      <c r="B31" s="19" t="str">
        <f aca="false">Scenarios!C$3</f>
        <v>Conservative</v>
      </c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</row>
    <row r="32" customFormat="false" ht="15" hidden="false" customHeight="false" outlineLevel="0" collapsed="false">
      <c r="A32" s="3" t="s">
        <v>101</v>
      </c>
      <c r="C32" s="17" t="n">
        <v>1</v>
      </c>
      <c r="D32" s="17" t="n">
        <v>2</v>
      </c>
      <c r="E32" s="17" t="n">
        <v>3</v>
      </c>
      <c r="F32" s="17" t="n">
        <v>4</v>
      </c>
      <c r="G32" s="17" t="n">
        <v>5</v>
      </c>
      <c r="H32" s="17" t="n">
        <v>6</v>
      </c>
      <c r="I32" s="17" t="n">
        <v>7</v>
      </c>
      <c r="J32" s="17" t="n">
        <v>8</v>
      </c>
      <c r="K32" s="17" t="n">
        <v>9</v>
      </c>
      <c r="L32" s="17" t="n">
        <v>10</v>
      </c>
      <c r="M32" s="17" t="n">
        <v>11</v>
      </c>
      <c r="N32" s="17" t="n">
        <v>12</v>
      </c>
      <c r="O32" s="17" t="n">
        <v>13</v>
      </c>
      <c r="P32" s="17" t="n">
        <v>14</v>
      </c>
      <c r="Q32" s="17" t="n">
        <v>15</v>
      </c>
    </row>
    <row r="33" customFormat="false" ht="15" hidden="false" customHeight="false" outlineLevel="0" collapsed="false">
      <c r="A33" s="3" t="s">
        <v>102</v>
      </c>
      <c r="C33" s="17" t="n">
        <f aca="false">$B$6</f>
        <v>2026</v>
      </c>
      <c r="D33" s="17" t="n">
        <f aca="false">C33+1</f>
        <v>2027</v>
      </c>
      <c r="E33" s="17" t="n">
        <f aca="false">D33+1</f>
        <v>2028</v>
      </c>
      <c r="F33" s="17" t="n">
        <f aca="false">E33+1</f>
        <v>2029</v>
      </c>
      <c r="G33" s="17" t="n">
        <f aca="false">F33+1</f>
        <v>2030</v>
      </c>
      <c r="H33" s="17" t="n">
        <f aca="false">G33+1</f>
        <v>2031</v>
      </c>
      <c r="I33" s="17" t="n">
        <f aca="false">H33+1</f>
        <v>2032</v>
      </c>
      <c r="J33" s="17" t="n">
        <f aca="false">I33+1</f>
        <v>2033</v>
      </c>
      <c r="K33" s="17" t="n">
        <f aca="false">J33+1</f>
        <v>2034</v>
      </c>
      <c r="L33" s="17" t="n">
        <f aca="false">K33+1</f>
        <v>2035</v>
      </c>
      <c r="M33" s="17" t="n">
        <f aca="false">L33+1</f>
        <v>2036</v>
      </c>
      <c r="N33" s="17" t="n">
        <f aca="false">M33+1</f>
        <v>2037</v>
      </c>
      <c r="O33" s="17" t="n">
        <f aca="false">N33+1</f>
        <v>2038</v>
      </c>
      <c r="P33" s="17" t="n">
        <f aca="false">O33+1</f>
        <v>2039</v>
      </c>
      <c r="Q33" s="17" t="n">
        <f aca="false">P33+1</f>
        <v>2040</v>
      </c>
    </row>
    <row r="34" customFormat="false" ht="15" hidden="false" customHeight="false" outlineLevel="0" collapsed="false">
      <c r="A34" s="2" t="s">
        <v>103</v>
      </c>
      <c r="C34" s="21" t="n">
        <f aca="false">$B$17</f>
        <v>1</v>
      </c>
      <c r="D34" s="21" t="n">
        <f aca="false">C34*(1+Scenarios!$C$4)</f>
        <v>1</v>
      </c>
      <c r="E34" s="21" t="n">
        <f aca="false">D34*(1+Scenarios!$C$4)</f>
        <v>1</v>
      </c>
      <c r="F34" s="21" t="n">
        <f aca="false">E34*(1+Scenarios!$C$4)</f>
        <v>1</v>
      </c>
      <c r="G34" s="21" t="n">
        <f aca="false">F34*(1+Scenarios!$C$4)</f>
        <v>1</v>
      </c>
      <c r="H34" s="21" t="n">
        <f aca="false">G34*(1+Scenarios!$C$4)</f>
        <v>1</v>
      </c>
      <c r="I34" s="21" t="n">
        <f aca="false">H34*(1+Scenarios!$C$4)</f>
        <v>1</v>
      </c>
      <c r="J34" s="21" t="n">
        <f aca="false">I34*(1+Scenarios!$C$4)</f>
        <v>1</v>
      </c>
      <c r="K34" s="21" t="n">
        <f aca="false">J34*(1+Scenarios!$C$4)</f>
        <v>1</v>
      </c>
      <c r="L34" s="21" t="n">
        <f aca="false">K34*(1+Scenarios!$C$4)</f>
        <v>1</v>
      </c>
      <c r="M34" s="21" t="n">
        <f aca="false">L34*(1+Scenarios!$C$4)</f>
        <v>1</v>
      </c>
      <c r="N34" s="21" t="n">
        <f aca="false">M34*(1+Scenarios!$C$4)</f>
        <v>1</v>
      </c>
      <c r="O34" s="21" t="n">
        <f aca="false">N34*(1+Scenarios!$C$4)</f>
        <v>1</v>
      </c>
      <c r="P34" s="21" t="n">
        <f aca="false">O34*(1+Scenarios!$C$4)</f>
        <v>1</v>
      </c>
      <c r="Q34" s="21" t="n">
        <f aca="false">P34*(1+Scenarios!$C$4)</f>
        <v>1</v>
      </c>
    </row>
    <row r="35" customFormat="false" ht="15" hidden="false" customHeight="false" outlineLevel="0" collapsed="false">
      <c r="A35" s="2" t="s">
        <v>104</v>
      </c>
      <c r="C35" s="22" t="n">
        <f aca="false">$B$7</f>
        <v>275000</v>
      </c>
      <c r="D35" s="22" t="n">
        <f aca="false">C35*(1+$B$8*Scenarios!$C$5)</f>
        <v>279125</v>
      </c>
      <c r="E35" s="22" t="n">
        <f aca="false">D35*(1+$B$8*Scenarios!$C$5)</f>
        <v>283311.875</v>
      </c>
      <c r="F35" s="22" t="n">
        <f aca="false">E35*(1+$B$8*Scenarios!$C$5)</f>
        <v>287561.553125</v>
      </c>
      <c r="G35" s="22" t="n">
        <f aca="false">F35*(1+$B$8*Scenarios!$C$5)</f>
        <v>291874.976421875</v>
      </c>
      <c r="H35" s="22" t="n">
        <f aca="false">G35*(1+$B$8*Scenarios!$C$5)</f>
        <v>296253.101068203</v>
      </c>
      <c r="I35" s="22" t="n">
        <f aca="false">H35*(1+$B$8*Scenarios!$C$5)</f>
        <v>300696.897584226</v>
      </c>
      <c r="J35" s="22" t="n">
        <f aca="false">I35*(1+$B$8*Scenarios!$C$5)</f>
        <v>305207.351047989</v>
      </c>
      <c r="K35" s="22" t="n">
        <f aca="false">J35*(1+$B$8*Scenarios!$C$5)</f>
        <v>309785.461313709</v>
      </c>
      <c r="L35" s="22" t="n">
        <f aca="false">K35*(1+$B$8*Scenarios!$C$5)</f>
        <v>314432.243233415</v>
      </c>
      <c r="M35" s="22" t="n">
        <f aca="false">L35*(1+$B$8*Scenarios!$C$5)</f>
        <v>319148.726881916</v>
      </c>
      <c r="N35" s="22" t="n">
        <f aca="false">M35*(1+$B$8*Scenarios!$C$5)</f>
        <v>323935.957785145</v>
      </c>
      <c r="O35" s="22" t="n">
        <f aca="false">N35*(1+$B$8*Scenarios!$C$5)</f>
        <v>328794.997151922</v>
      </c>
      <c r="P35" s="22" t="n">
        <f aca="false">O35*(1+$B$8*Scenarios!$C$5)</f>
        <v>333726.922109201</v>
      </c>
      <c r="Q35" s="22" t="n">
        <f aca="false">P35*(1+$B$8*Scenarios!$C$5)</f>
        <v>338732.825940839</v>
      </c>
    </row>
    <row r="36" customFormat="false" ht="15" hidden="false" customHeight="false" outlineLevel="0" collapsed="false">
      <c r="A36" s="2" t="s">
        <v>105</v>
      </c>
      <c r="C36" s="22" t="n">
        <f aca="false">IF($B$10="Prior",0,C35)</f>
        <v>275000</v>
      </c>
      <c r="D36" s="22" t="n">
        <f aca="false">IF($B$10="Prior",C35,D35)</f>
        <v>279125</v>
      </c>
      <c r="E36" s="22" t="n">
        <f aca="false">IF($B$10="Prior",D35,E35)</f>
        <v>283311.875</v>
      </c>
      <c r="F36" s="22" t="n">
        <f aca="false">IF($B$10="Prior",E35,F35)</f>
        <v>287561.553125</v>
      </c>
      <c r="G36" s="22" t="n">
        <f aca="false">IF($B$10="Prior",F35,G35)</f>
        <v>291874.976421875</v>
      </c>
      <c r="H36" s="22" t="n">
        <f aca="false">IF($B$10="Prior",G35,H35)</f>
        <v>296253.101068203</v>
      </c>
      <c r="I36" s="22" t="n">
        <f aca="false">IF($B$10="Prior",H35,I35)</f>
        <v>300696.897584226</v>
      </c>
      <c r="J36" s="22" t="n">
        <f aca="false">IF($B$10="Prior",I35,J35)</f>
        <v>305207.351047989</v>
      </c>
      <c r="K36" s="22" t="n">
        <f aca="false">IF($B$10="Prior",J35,K35)</f>
        <v>309785.461313709</v>
      </c>
      <c r="L36" s="22" t="n">
        <f aca="false">IF($B$10="Prior",K35,L35)</f>
        <v>314432.243233415</v>
      </c>
      <c r="M36" s="22" t="n">
        <f aca="false">IF($B$10="Prior",L35,M35)</f>
        <v>319148.726881916</v>
      </c>
      <c r="N36" s="22" t="n">
        <f aca="false">IF($B$10="Prior",M35,N35)</f>
        <v>323935.957785145</v>
      </c>
      <c r="O36" s="22" t="n">
        <f aca="false">IF($B$10="Prior",N35,O35)</f>
        <v>328794.997151922</v>
      </c>
      <c r="P36" s="22" t="n">
        <f aca="false">IF($B$10="Prior",O35,P35)</f>
        <v>333726.922109201</v>
      </c>
      <c r="Q36" s="22" t="n">
        <f aca="false">IF($B$10="Prior",P35,Q35)</f>
        <v>338732.825940839</v>
      </c>
    </row>
    <row r="37" customFormat="false" ht="15" hidden="false" customHeight="false" outlineLevel="0" collapsed="false">
      <c r="A37" s="2" t="s">
        <v>106</v>
      </c>
      <c r="C37" s="22" t="n">
        <f aca="false">IF($B$11="No",0,C36*$B$9*Scenarios!$C$6)</f>
        <v>45375</v>
      </c>
      <c r="D37" s="22" t="n">
        <f aca="false">D36*$B$9*Scenarios!$C$6</f>
        <v>46055.625</v>
      </c>
      <c r="E37" s="22" t="n">
        <f aca="false">E36*$B$9*Scenarios!$C$6</f>
        <v>46746.459375</v>
      </c>
      <c r="F37" s="22" t="n">
        <f aca="false">F36*$B$9*Scenarios!$C$6</f>
        <v>47447.656265625</v>
      </c>
      <c r="G37" s="22" t="n">
        <f aca="false">G36*$B$9*Scenarios!$C$6</f>
        <v>48159.3711096094</v>
      </c>
      <c r="H37" s="22" t="n">
        <f aca="false">H36*$B$9*Scenarios!$C$6</f>
        <v>48881.7616762535</v>
      </c>
      <c r="I37" s="22" t="n">
        <f aca="false">I36*$B$9*Scenarios!$C$6</f>
        <v>49614.9881013973</v>
      </c>
      <c r="J37" s="22" t="n">
        <f aca="false">J36*$B$9*Scenarios!$C$6</f>
        <v>50359.2129229183</v>
      </c>
      <c r="K37" s="22" t="n">
        <f aca="false">K36*$B$9*Scenarios!$C$6</f>
        <v>51114.601116762</v>
      </c>
      <c r="L37" s="22" t="n">
        <f aca="false">L36*$B$9*Scenarios!$C$6</f>
        <v>51881.3201335135</v>
      </c>
      <c r="M37" s="22" t="n">
        <f aca="false">M36*$B$9*Scenarios!$C$6</f>
        <v>52659.5399355162</v>
      </c>
      <c r="N37" s="22" t="n">
        <f aca="false">N36*$B$9*Scenarios!$C$6</f>
        <v>53449.4330345489</v>
      </c>
      <c r="O37" s="22" t="n">
        <f aca="false">O36*$B$9*Scenarios!$C$6</f>
        <v>54251.1745300671</v>
      </c>
      <c r="P37" s="22" t="n">
        <f aca="false">P36*$B$9*Scenarios!$C$6</f>
        <v>55064.9421480181</v>
      </c>
      <c r="Q37" s="22" t="n">
        <f aca="false">Q36*$B$9*Scenarios!$C$6</f>
        <v>55890.9162802384</v>
      </c>
    </row>
    <row r="38" customFormat="false" ht="15" hidden="false" customHeight="false" outlineLevel="0" collapsed="false">
      <c r="A38" s="2" t="s">
        <v>107</v>
      </c>
      <c r="C38" s="22" t="n">
        <f aca="false">$B$12*$B$13</f>
        <v>0</v>
      </c>
      <c r="D38" s="22" t="n">
        <f aca="false">$B$12*$B$14</f>
        <v>0</v>
      </c>
      <c r="E38" s="22" t="n">
        <f aca="false">$B$12*$B$15</f>
        <v>0</v>
      </c>
      <c r="F38" s="22" t="n">
        <v>0</v>
      </c>
      <c r="G38" s="22" t="n">
        <v>0</v>
      </c>
      <c r="H38" s="22" t="n">
        <v>0</v>
      </c>
      <c r="I38" s="22" t="n">
        <v>0</v>
      </c>
      <c r="J38" s="22" t="n">
        <v>0</v>
      </c>
      <c r="K38" s="22" t="n">
        <v>0</v>
      </c>
      <c r="L38" s="22" t="n">
        <v>0</v>
      </c>
      <c r="M38" s="22" t="n">
        <v>0</v>
      </c>
      <c r="N38" s="22" t="n">
        <v>0</v>
      </c>
      <c r="O38" s="22" t="n">
        <v>0</v>
      </c>
      <c r="P38" s="22" t="n">
        <v>0</v>
      </c>
      <c r="Q38" s="22" t="n">
        <v>0</v>
      </c>
    </row>
    <row r="40" customFormat="false" ht="15" hidden="false" customHeight="false" outlineLevel="0" collapsed="false">
      <c r="A40" s="3" t="s">
        <v>108</v>
      </c>
      <c r="S40" s="7" t="s">
        <v>109</v>
      </c>
      <c r="T40" s="7" t="s">
        <v>110</v>
      </c>
      <c r="U40" s="7" t="s">
        <v>111</v>
      </c>
      <c r="V40" s="7" t="s">
        <v>112</v>
      </c>
      <c r="W40" s="7" t="s">
        <v>113</v>
      </c>
    </row>
    <row r="41" customFormat="false" ht="15" hidden="false" customHeight="false" outlineLevel="0" collapsed="false">
      <c r="A41" s="2" t="s">
        <v>97</v>
      </c>
      <c r="C41" s="22" t="n">
        <f aca="false">IF(AND(C$33-$S41+1-$B$22&gt;=1,C$33-$S41+1-$B$22&lt;=8),INDEX($C$26:$J$26,1,C$33-$S41+1-$B$22),0)*$U41*C$34</f>
        <v>0</v>
      </c>
      <c r="D41" s="22" t="n">
        <f aca="false">IF(AND(D$33-$S41+1-$B$22&gt;=1,D$33-$S41+1-$B$22&lt;=8),INDEX($C$26:$J$26,1,D$33-$S41+1-$B$22),0)*$U41*D$34</f>
        <v>0</v>
      </c>
      <c r="E41" s="22" t="n">
        <f aca="false">IF(AND(E$33-$S41+1-$B$22&gt;=1,E$33-$S41+1-$B$22&lt;=8),INDEX($C$26:$J$26,1,E$33-$S41+1-$B$22),0)*$U41*E$34</f>
        <v>0</v>
      </c>
      <c r="F41" s="22" t="n">
        <f aca="false">IF(AND(F$33-$S41+1-$B$22&gt;=1,F$33-$S41+1-$B$22&lt;=8),INDEX($C$26:$J$26,1,F$33-$S41+1-$B$22),0)*$U41*F$34</f>
        <v>0</v>
      </c>
      <c r="G41" s="22" t="n">
        <f aca="false">IF(AND(G$33-$S41+1-$B$22&gt;=1,G$33-$S41+1-$B$22&lt;=8),INDEX($C$26:$J$26,1,G$33-$S41+1-$B$22),0)*$U41*G$34</f>
        <v>0</v>
      </c>
      <c r="H41" s="22" t="n">
        <f aca="false">IF(AND(H$33-$S41+1-$B$22&gt;=1,H$33-$S41+1-$B$22&lt;=8),INDEX($C$26:$J$26,1,H$33-$S41+1-$B$22),0)*$U41*H$34</f>
        <v>0</v>
      </c>
      <c r="I41" s="22" t="n">
        <f aca="false">IF(AND(I$33-$S41+1-$B$22&gt;=1,I$33-$S41+1-$B$22&lt;=8),INDEX($C$26:$J$26,1,I$33-$S41+1-$B$22),0)*$U41*I$34</f>
        <v>0</v>
      </c>
      <c r="J41" s="22" t="n">
        <f aca="false">IF(AND(J$33-$S41+1-$B$22&gt;=1,J$33-$S41+1-$B$22&lt;=8),INDEX($C$26:$J$26,1,J$33-$S41+1-$B$22),0)*$U41*J$34</f>
        <v>0</v>
      </c>
      <c r="K41" s="22" t="n">
        <f aca="false">IF(AND(K$33-$S41+1-$B$22&gt;=1,K$33-$S41+1-$B$22&lt;=8),INDEX($C$26:$J$26,1,K$33-$S41+1-$B$22),0)*$U41*K$34</f>
        <v>0</v>
      </c>
      <c r="L41" s="22" t="n">
        <f aca="false">IF(AND(L$33-$S41+1-$B$22&gt;=1,L$33-$S41+1-$B$22&lt;=8),INDEX($C$26:$J$26,1,L$33-$S41+1-$B$22),0)*$U41*L$34</f>
        <v>0</v>
      </c>
      <c r="M41" s="22" t="n">
        <f aca="false">IF(AND(M$33-$S41+1-$B$22&gt;=1,M$33-$S41+1-$B$22&lt;=8),INDEX($C$26:$J$26,1,M$33-$S41+1-$B$22),0)*$U41*M$34</f>
        <v>0</v>
      </c>
      <c r="N41" s="22" t="n">
        <f aca="false">IF(AND(N$33-$S41+1-$B$22&gt;=1,N$33-$S41+1-$B$22&lt;=8),INDEX($C$26:$J$26,1,N$33-$S41+1-$B$22),0)*$U41*N$34</f>
        <v>0</v>
      </c>
      <c r="O41" s="22" t="n">
        <f aca="false">IF(AND(O$33-$S41+1-$B$22&gt;=1,O$33-$S41+1-$B$22&lt;=8),INDEX($C$26:$J$26,1,O$33-$S41+1-$B$22),0)*$U41*O$34</f>
        <v>0</v>
      </c>
      <c r="P41" s="22" t="n">
        <f aca="false">IF(AND(P$33-$S41+1-$B$22&gt;=1,P$33-$S41+1-$B$22&lt;=8),INDEX($C$26:$J$26,1,P$33-$S41+1-$B$22),0)*$U41*P$34</f>
        <v>0</v>
      </c>
      <c r="Q41" s="22" t="n">
        <f aca="false">IF(AND(Q$33-$S41+1-$B$22&gt;=1,Q$33-$S41+1-$B$22&lt;=8),INDEX($C$26:$J$26,1,Q$33-$S41+1-$B$22),0)*$U41*Q$34</f>
        <v>0</v>
      </c>
      <c r="S41" s="23" t="n">
        <f aca="false">$B$6</f>
        <v>2026</v>
      </c>
      <c r="T41" s="22" t="n">
        <f aca="false">$B$18</f>
        <v>0</v>
      </c>
      <c r="U41" s="24" t="n">
        <f aca="false">IFERROR(T41/$B$17,0)</f>
        <v>0</v>
      </c>
      <c r="V41" s="24" t="n">
        <f aca="false">SUMPRODUCT(($C$25:$J$25&lt;=$Q$33-$S41+1-$B$22)*$C$26:$J$26)*$U41</f>
        <v>0</v>
      </c>
      <c r="W41" s="24" t="n">
        <f aca="false">$U41-$V41</f>
        <v>0</v>
      </c>
    </row>
    <row r="42" customFormat="false" ht="15" hidden="false" customHeight="false" outlineLevel="0" collapsed="false">
      <c r="A42" s="2" t="s">
        <v>114</v>
      </c>
      <c r="C42" s="22" t="n">
        <f aca="false">IF(AND(C$33-$S42+1-$B$22&gt;=1,C$33-$S42+1-$B$22&lt;=8),INDEX($C$27:$J$27,1,C$33-$S42+1-$B$22),0)*$U42*C$34</f>
        <v>0</v>
      </c>
      <c r="D42" s="22" t="n">
        <f aca="false">IF(AND(D$33-$S42+1-$B$22&gt;=1,D$33-$S42+1-$B$22&lt;=8),INDEX($C$27:$J$27,1,D$33-$S42+1-$B$22),0)*$U42*D$34</f>
        <v>0</v>
      </c>
      <c r="E42" s="22" t="n">
        <f aca="false">IF(AND(E$33-$S42+1-$B$22&gt;=1,E$33-$S42+1-$B$22&lt;=8),INDEX($C$27:$J$27,1,E$33-$S42+1-$B$22),0)*$U42*E$34</f>
        <v>0</v>
      </c>
      <c r="F42" s="22" t="n">
        <f aca="false">IF(AND(F$33-$S42+1-$B$22&gt;=1,F$33-$S42+1-$B$22&lt;=8),INDEX($C$27:$J$27,1,F$33-$S42+1-$B$22),0)*$U42*F$34</f>
        <v>0</v>
      </c>
      <c r="G42" s="22" t="n">
        <f aca="false">IF(AND(G$33-$S42+1-$B$22&gt;=1,G$33-$S42+1-$B$22&lt;=8),INDEX($C$27:$J$27,1,G$33-$S42+1-$B$22),0)*$U42*G$34</f>
        <v>0</v>
      </c>
      <c r="H42" s="22" t="n">
        <f aca="false">IF(AND(H$33-$S42+1-$B$22&gt;=1,H$33-$S42+1-$B$22&lt;=8),INDEX($C$27:$J$27,1,H$33-$S42+1-$B$22),0)*$U42*H$34</f>
        <v>0</v>
      </c>
      <c r="I42" s="22" t="n">
        <f aca="false">IF(AND(I$33-$S42+1-$B$22&gt;=1,I$33-$S42+1-$B$22&lt;=8),INDEX($C$27:$J$27,1,I$33-$S42+1-$B$22),0)*$U42*I$34</f>
        <v>0</v>
      </c>
      <c r="J42" s="22" t="n">
        <f aca="false">IF(AND(J$33-$S42+1-$B$22&gt;=1,J$33-$S42+1-$B$22&lt;=8),INDEX($C$27:$J$27,1,J$33-$S42+1-$B$22),0)*$U42*J$34</f>
        <v>0</v>
      </c>
      <c r="K42" s="22" t="n">
        <f aca="false">IF(AND(K$33-$S42+1-$B$22&gt;=1,K$33-$S42+1-$B$22&lt;=8),INDEX($C$27:$J$27,1,K$33-$S42+1-$B$22),0)*$U42*K$34</f>
        <v>0</v>
      </c>
      <c r="L42" s="22" t="n">
        <f aca="false">IF(AND(L$33-$S42+1-$B$22&gt;=1,L$33-$S42+1-$B$22&lt;=8),INDEX($C$27:$J$27,1,L$33-$S42+1-$B$22),0)*$U42*L$34</f>
        <v>0</v>
      </c>
      <c r="M42" s="22" t="n">
        <f aca="false">IF(AND(M$33-$S42+1-$B$22&gt;=1,M$33-$S42+1-$B$22&lt;=8),INDEX($C$27:$J$27,1,M$33-$S42+1-$B$22),0)*$U42*M$34</f>
        <v>0</v>
      </c>
      <c r="N42" s="22" t="n">
        <f aca="false">IF(AND(N$33-$S42+1-$B$22&gt;=1,N$33-$S42+1-$B$22&lt;=8),INDEX($C$27:$J$27,1,N$33-$S42+1-$B$22),0)*$U42*N$34</f>
        <v>0</v>
      </c>
      <c r="O42" s="22" t="n">
        <f aca="false">IF(AND(O$33-$S42+1-$B$22&gt;=1,O$33-$S42+1-$B$22&lt;=8),INDEX($C$27:$J$27,1,O$33-$S42+1-$B$22),0)*$U42*O$34</f>
        <v>0</v>
      </c>
      <c r="P42" s="22" t="n">
        <f aca="false">IF(AND(P$33-$S42+1-$B$22&gt;=1,P$33-$S42+1-$B$22&lt;=8),INDEX($C$27:$J$27,1,P$33-$S42+1-$B$22),0)*$U42*P$34</f>
        <v>0</v>
      </c>
      <c r="Q42" s="22" t="n">
        <f aca="false">IF(AND(Q$33-$S42+1-$B$22&gt;=1,Q$33-$S42+1-$B$22&lt;=8),INDEX($C$27:$J$27,1,Q$33-$S42+1-$B$22),0)*$U42*Q$34</f>
        <v>0</v>
      </c>
      <c r="S42" s="23" t="n">
        <f aca="false">$B$20+0</f>
        <v>2027</v>
      </c>
      <c r="T42" s="22" t="n">
        <f aca="false">IF($S42&gt;$B$20+Scenarios!$C$8-1,0,$B$19*(1+$B$21*Scenarios!$C$7)^0)</f>
        <v>0</v>
      </c>
      <c r="U42" s="24" t="n">
        <f aca="false">IFERROR($T42/INDEX($C$34:$Q$34,1,MATCH($S42,$C$33:$Q$33,0)),0)</f>
        <v>0</v>
      </c>
      <c r="V42" s="24" t="n">
        <f aca="false">SUMPRODUCT(($C$25:$J$25&lt;=$Q$33-$S42+1-$B$22)*$C$27:$J$27)*$U42</f>
        <v>0</v>
      </c>
      <c r="W42" s="24" t="n">
        <f aca="false">$U42-$V42</f>
        <v>0</v>
      </c>
    </row>
    <row r="43" customFormat="false" ht="15" hidden="false" customHeight="false" outlineLevel="0" collapsed="false">
      <c r="A43" s="2" t="s">
        <v>115</v>
      </c>
      <c r="C43" s="22" t="n">
        <f aca="false">IF(AND(C$33-$S43+1-$B$22&gt;=1,C$33-$S43+1-$B$22&lt;=8),INDEX($C$27:$J$27,1,C$33-$S43+1-$B$22),0)*$U43*C$34</f>
        <v>0</v>
      </c>
      <c r="D43" s="22" t="n">
        <f aca="false">IF(AND(D$33-$S43+1-$B$22&gt;=1,D$33-$S43+1-$B$22&lt;=8),INDEX($C$27:$J$27,1,D$33-$S43+1-$B$22),0)*$U43*D$34</f>
        <v>0</v>
      </c>
      <c r="E43" s="22" t="n">
        <f aca="false">IF(AND(E$33-$S43+1-$B$22&gt;=1,E$33-$S43+1-$B$22&lt;=8),INDEX($C$27:$J$27,1,E$33-$S43+1-$B$22),0)*$U43*E$34</f>
        <v>0</v>
      </c>
      <c r="F43" s="22" t="n">
        <f aca="false">IF(AND(F$33-$S43+1-$B$22&gt;=1,F$33-$S43+1-$B$22&lt;=8),INDEX($C$27:$J$27,1,F$33-$S43+1-$B$22),0)*$U43*F$34</f>
        <v>0</v>
      </c>
      <c r="G43" s="22" t="n">
        <f aca="false">IF(AND(G$33-$S43+1-$B$22&gt;=1,G$33-$S43+1-$B$22&lt;=8),INDEX($C$27:$J$27,1,G$33-$S43+1-$B$22),0)*$U43*G$34</f>
        <v>0</v>
      </c>
      <c r="H43" s="22" t="n">
        <f aca="false">IF(AND(H$33-$S43+1-$B$22&gt;=1,H$33-$S43+1-$B$22&lt;=8),INDEX($C$27:$J$27,1,H$33-$S43+1-$B$22),0)*$U43*H$34</f>
        <v>0</v>
      </c>
      <c r="I43" s="22" t="n">
        <f aca="false">IF(AND(I$33-$S43+1-$B$22&gt;=1,I$33-$S43+1-$B$22&lt;=8),INDEX($C$27:$J$27,1,I$33-$S43+1-$B$22),0)*$U43*I$34</f>
        <v>0</v>
      </c>
      <c r="J43" s="22" t="n">
        <f aca="false">IF(AND(J$33-$S43+1-$B$22&gt;=1,J$33-$S43+1-$B$22&lt;=8),INDEX($C$27:$J$27,1,J$33-$S43+1-$B$22),0)*$U43*J$34</f>
        <v>0</v>
      </c>
      <c r="K43" s="22" t="n">
        <f aca="false">IF(AND(K$33-$S43+1-$B$22&gt;=1,K$33-$S43+1-$B$22&lt;=8),INDEX($C$27:$J$27,1,K$33-$S43+1-$B$22),0)*$U43*K$34</f>
        <v>0</v>
      </c>
      <c r="L43" s="22" t="n">
        <f aca="false">IF(AND(L$33-$S43+1-$B$22&gt;=1,L$33-$S43+1-$B$22&lt;=8),INDEX($C$27:$J$27,1,L$33-$S43+1-$B$22),0)*$U43*L$34</f>
        <v>0</v>
      </c>
      <c r="M43" s="22" t="n">
        <f aca="false">IF(AND(M$33-$S43+1-$B$22&gt;=1,M$33-$S43+1-$B$22&lt;=8),INDEX($C$27:$J$27,1,M$33-$S43+1-$B$22),0)*$U43*M$34</f>
        <v>0</v>
      </c>
      <c r="N43" s="22" t="n">
        <f aca="false">IF(AND(N$33-$S43+1-$B$22&gt;=1,N$33-$S43+1-$B$22&lt;=8),INDEX($C$27:$J$27,1,N$33-$S43+1-$B$22),0)*$U43*N$34</f>
        <v>0</v>
      </c>
      <c r="O43" s="22" t="n">
        <f aca="false">IF(AND(O$33-$S43+1-$B$22&gt;=1,O$33-$S43+1-$B$22&lt;=8),INDEX($C$27:$J$27,1,O$33-$S43+1-$B$22),0)*$U43*O$34</f>
        <v>0</v>
      </c>
      <c r="P43" s="22" t="n">
        <f aca="false">IF(AND(P$33-$S43+1-$B$22&gt;=1,P$33-$S43+1-$B$22&lt;=8),INDEX($C$27:$J$27,1,P$33-$S43+1-$B$22),0)*$U43*P$34</f>
        <v>0</v>
      </c>
      <c r="Q43" s="22" t="n">
        <f aca="false">IF(AND(Q$33-$S43+1-$B$22&gt;=1,Q$33-$S43+1-$B$22&lt;=8),INDEX($C$27:$J$27,1,Q$33-$S43+1-$B$22),0)*$U43*Q$34</f>
        <v>0</v>
      </c>
      <c r="S43" s="23" t="n">
        <f aca="false">$B$20+1</f>
        <v>2028</v>
      </c>
      <c r="T43" s="22" t="n">
        <f aca="false">IF($S43&gt;$B$20+Scenarios!$C$8-1,0,$B$19*(1+$B$21*Scenarios!$C$7)^1)</f>
        <v>0</v>
      </c>
      <c r="U43" s="24" t="n">
        <f aca="false">IFERROR($T43/INDEX($C$34:$Q$34,1,MATCH($S43,$C$33:$Q$33,0)),0)</f>
        <v>0</v>
      </c>
      <c r="V43" s="24" t="n">
        <f aca="false">SUMPRODUCT(($C$25:$J$25&lt;=$Q$33-$S43+1-$B$22)*$C$27:$J$27)*$U43</f>
        <v>0</v>
      </c>
      <c r="W43" s="24" t="n">
        <f aca="false">$U43-$V43</f>
        <v>0</v>
      </c>
    </row>
    <row r="44" customFormat="false" ht="15" hidden="false" customHeight="false" outlineLevel="0" collapsed="false">
      <c r="A44" s="2" t="s">
        <v>116</v>
      </c>
      <c r="C44" s="22" t="n">
        <f aca="false">IF(AND(C$33-$S44+1-$B$22&gt;=1,C$33-$S44+1-$B$22&lt;=8),INDEX($C$27:$J$27,1,C$33-$S44+1-$B$22),0)*$U44*C$34</f>
        <v>0</v>
      </c>
      <c r="D44" s="22" t="n">
        <f aca="false">IF(AND(D$33-$S44+1-$B$22&gt;=1,D$33-$S44+1-$B$22&lt;=8),INDEX($C$27:$J$27,1,D$33-$S44+1-$B$22),0)*$U44*D$34</f>
        <v>0</v>
      </c>
      <c r="E44" s="22" t="n">
        <f aca="false">IF(AND(E$33-$S44+1-$B$22&gt;=1,E$33-$S44+1-$B$22&lt;=8),INDEX($C$27:$J$27,1,E$33-$S44+1-$B$22),0)*$U44*E$34</f>
        <v>0</v>
      </c>
      <c r="F44" s="22" t="n">
        <f aca="false">IF(AND(F$33-$S44+1-$B$22&gt;=1,F$33-$S44+1-$B$22&lt;=8),INDEX($C$27:$J$27,1,F$33-$S44+1-$B$22),0)*$U44*F$34</f>
        <v>0</v>
      </c>
      <c r="G44" s="22" t="n">
        <f aca="false">IF(AND(G$33-$S44+1-$B$22&gt;=1,G$33-$S44+1-$B$22&lt;=8),INDEX($C$27:$J$27,1,G$33-$S44+1-$B$22),0)*$U44*G$34</f>
        <v>0</v>
      </c>
      <c r="H44" s="22" t="n">
        <f aca="false">IF(AND(H$33-$S44+1-$B$22&gt;=1,H$33-$S44+1-$B$22&lt;=8),INDEX($C$27:$J$27,1,H$33-$S44+1-$B$22),0)*$U44*H$34</f>
        <v>0</v>
      </c>
      <c r="I44" s="22" t="n">
        <f aca="false">IF(AND(I$33-$S44+1-$B$22&gt;=1,I$33-$S44+1-$B$22&lt;=8),INDEX($C$27:$J$27,1,I$33-$S44+1-$B$22),0)*$U44*I$34</f>
        <v>0</v>
      </c>
      <c r="J44" s="22" t="n">
        <f aca="false">IF(AND(J$33-$S44+1-$B$22&gt;=1,J$33-$S44+1-$B$22&lt;=8),INDEX($C$27:$J$27,1,J$33-$S44+1-$B$22),0)*$U44*J$34</f>
        <v>0</v>
      </c>
      <c r="K44" s="22" t="n">
        <f aca="false">IF(AND(K$33-$S44+1-$B$22&gt;=1,K$33-$S44+1-$B$22&lt;=8),INDEX($C$27:$J$27,1,K$33-$S44+1-$B$22),0)*$U44*K$34</f>
        <v>0</v>
      </c>
      <c r="L44" s="22" t="n">
        <f aca="false">IF(AND(L$33-$S44+1-$B$22&gt;=1,L$33-$S44+1-$B$22&lt;=8),INDEX($C$27:$J$27,1,L$33-$S44+1-$B$22),0)*$U44*L$34</f>
        <v>0</v>
      </c>
      <c r="M44" s="22" t="n">
        <f aca="false">IF(AND(M$33-$S44+1-$B$22&gt;=1,M$33-$S44+1-$B$22&lt;=8),INDEX($C$27:$J$27,1,M$33-$S44+1-$B$22),0)*$U44*M$34</f>
        <v>0</v>
      </c>
      <c r="N44" s="22" t="n">
        <f aca="false">IF(AND(N$33-$S44+1-$B$22&gt;=1,N$33-$S44+1-$B$22&lt;=8),INDEX($C$27:$J$27,1,N$33-$S44+1-$B$22),0)*$U44*N$34</f>
        <v>0</v>
      </c>
      <c r="O44" s="22" t="n">
        <f aca="false">IF(AND(O$33-$S44+1-$B$22&gt;=1,O$33-$S44+1-$B$22&lt;=8),INDEX($C$27:$J$27,1,O$33-$S44+1-$B$22),0)*$U44*O$34</f>
        <v>0</v>
      </c>
      <c r="P44" s="22" t="n">
        <f aca="false">IF(AND(P$33-$S44+1-$B$22&gt;=1,P$33-$S44+1-$B$22&lt;=8),INDEX($C$27:$J$27,1,P$33-$S44+1-$B$22),0)*$U44*P$34</f>
        <v>0</v>
      </c>
      <c r="Q44" s="22" t="n">
        <f aca="false">IF(AND(Q$33-$S44+1-$B$22&gt;=1,Q$33-$S44+1-$B$22&lt;=8),INDEX($C$27:$J$27,1,Q$33-$S44+1-$B$22),0)*$U44*Q$34</f>
        <v>0</v>
      </c>
      <c r="S44" s="23" t="n">
        <f aca="false">$B$20+2</f>
        <v>2029</v>
      </c>
      <c r="T44" s="22" t="n">
        <f aca="false">IF($S44&gt;$B$20+Scenarios!$C$8-1,0,$B$19*(1+$B$21*Scenarios!$C$7)^2)</f>
        <v>0</v>
      </c>
      <c r="U44" s="24" t="n">
        <f aca="false">IFERROR($T44/INDEX($C$34:$Q$34,1,MATCH($S44,$C$33:$Q$33,0)),0)</f>
        <v>0</v>
      </c>
      <c r="V44" s="24" t="n">
        <f aca="false">SUMPRODUCT(($C$25:$J$25&lt;=$Q$33-$S44+1-$B$22)*$C$27:$J$27)*$U44</f>
        <v>0</v>
      </c>
      <c r="W44" s="24" t="n">
        <f aca="false">$U44-$V44</f>
        <v>0</v>
      </c>
    </row>
    <row r="45" customFormat="false" ht="15" hidden="false" customHeight="false" outlineLevel="0" collapsed="false">
      <c r="A45" s="2" t="s">
        <v>117</v>
      </c>
      <c r="C45" s="22" t="n">
        <f aca="false">IF(AND(C$33-$S45+1-$B$22&gt;=1,C$33-$S45+1-$B$22&lt;=8),INDEX($C$27:$J$27,1,C$33-$S45+1-$B$22),0)*$U45*C$34</f>
        <v>0</v>
      </c>
      <c r="D45" s="22" t="n">
        <f aca="false">IF(AND(D$33-$S45+1-$B$22&gt;=1,D$33-$S45+1-$B$22&lt;=8),INDEX($C$27:$J$27,1,D$33-$S45+1-$B$22),0)*$U45*D$34</f>
        <v>0</v>
      </c>
      <c r="E45" s="22" t="n">
        <f aca="false">IF(AND(E$33-$S45+1-$B$22&gt;=1,E$33-$S45+1-$B$22&lt;=8),INDEX($C$27:$J$27,1,E$33-$S45+1-$B$22),0)*$U45*E$34</f>
        <v>0</v>
      </c>
      <c r="F45" s="22" t="n">
        <f aca="false">IF(AND(F$33-$S45+1-$B$22&gt;=1,F$33-$S45+1-$B$22&lt;=8),INDEX($C$27:$J$27,1,F$33-$S45+1-$B$22),0)*$U45*F$34</f>
        <v>0</v>
      </c>
      <c r="G45" s="22" t="n">
        <f aca="false">IF(AND(G$33-$S45+1-$B$22&gt;=1,G$33-$S45+1-$B$22&lt;=8),INDEX($C$27:$J$27,1,G$33-$S45+1-$B$22),0)*$U45*G$34</f>
        <v>0</v>
      </c>
      <c r="H45" s="22" t="n">
        <f aca="false">IF(AND(H$33-$S45+1-$B$22&gt;=1,H$33-$S45+1-$B$22&lt;=8),INDEX($C$27:$J$27,1,H$33-$S45+1-$B$22),0)*$U45*H$34</f>
        <v>0</v>
      </c>
      <c r="I45" s="22" t="n">
        <f aca="false">IF(AND(I$33-$S45+1-$B$22&gt;=1,I$33-$S45+1-$B$22&lt;=8),INDEX($C$27:$J$27,1,I$33-$S45+1-$B$22),0)*$U45*I$34</f>
        <v>0</v>
      </c>
      <c r="J45" s="22" t="n">
        <f aca="false">IF(AND(J$33-$S45+1-$B$22&gt;=1,J$33-$S45+1-$B$22&lt;=8),INDEX($C$27:$J$27,1,J$33-$S45+1-$B$22),0)*$U45*J$34</f>
        <v>0</v>
      </c>
      <c r="K45" s="22" t="n">
        <f aca="false">IF(AND(K$33-$S45+1-$B$22&gt;=1,K$33-$S45+1-$B$22&lt;=8),INDEX($C$27:$J$27,1,K$33-$S45+1-$B$22),0)*$U45*K$34</f>
        <v>0</v>
      </c>
      <c r="L45" s="22" t="n">
        <f aca="false">IF(AND(L$33-$S45+1-$B$22&gt;=1,L$33-$S45+1-$B$22&lt;=8),INDEX($C$27:$J$27,1,L$33-$S45+1-$B$22),0)*$U45*L$34</f>
        <v>0</v>
      </c>
      <c r="M45" s="22" t="n">
        <f aca="false">IF(AND(M$33-$S45+1-$B$22&gt;=1,M$33-$S45+1-$B$22&lt;=8),INDEX($C$27:$J$27,1,M$33-$S45+1-$B$22),0)*$U45*M$34</f>
        <v>0</v>
      </c>
      <c r="N45" s="22" t="n">
        <f aca="false">IF(AND(N$33-$S45+1-$B$22&gt;=1,N$33-$S45+1-$B$22&lt;=8),INDEX($C$27:$J$27,1,N$33-$S45+1-$B$22),0)*$U45*N$34</f>
        <v>0</v>
      </c>
      <c r="O45" s="22" t="n">
        <f aca="false">IF(AND(O$33-$S45+1-$B$22&gt;=1,O$33-$S45+1-$B$22&lt;=8),INDEX($C$27:$J$27,1,O$33-$S45+1-$B$22),0)*$U45*O$34</f>
        <v>0</v>
      </c>
      <c r="P45" s="22" t="n">
        <f aca="false">IF(AND(P$33-$S45+1-$B$22&gt;=1,P$33-$S45+1-$B$22&lt;=8),INDEX($C$27:$J$27,1,P$33-$S45+1-$B$22),0)*$U45*P$34</f>
        <v>0</v>
      </c>
      <c r="Q45" s="22" t="n">
        <f aca="false">IF(AND(Q$33-$S45+1-$B$22&gt;=1,Q$33-$S45+1-$B$22&lt;=8),INDEX($C$27:$J$27,1,Q$33-$S45+1-$B$22),0)*$U45*Q$34</f>
        <v>0</v>
      </c>
      <c r="S45" s="23" t="n">
        <f aca="false">$B$20+3</f>
        <v>2030</v>
      </c>
      <c r="T45" s="22" t="n">
        <f aca="false">IF($S45&gt;$B$20+Scenarios!$C$8-1,0,$B$19*(1+$B$21*Scenarios!$C$7)^3)</f>
        <v>0</v>
      </c>
      <c r="U45" s="24" t="n">
        <f aca="false">IFERROR($T45/INDEX($C$34:$Q$34,1,MATCH($S45,$C$33:$Q$33,0)),0)</f>
        <v>0</v>
      </c>
      <c r="V45" s="24" t="n">
        <f aca="false">SUMPRODUCT(($C$25:$J$25&lt;=$Q$33-$S45+1-$B$22)*$C$27:$J$27)*$U45</f>
        <v>0</v>
      </c>
      <c r="W45" s="24" t="n">
        <f aca="false">$U45-$V45</f>
        <v>0</v>
      </c>
    </row>
    <row r="46" customFormat="false" ht="15" hidden="false" customHeight="false" outlineLevel="0" collapsed="false">
      <c r="A46" s="2" t="s">
        <v>118</v>
      </c>
      <c r="C46" s="22" t="n">
        <f aca="false">IF(AND(C$33-$S46+1-$B$22&gt;=1,C$33-$S46+1-$B$22&lt;=8),INDEX($C$27:$J$27,1,C$33-$S46+1-$B$22),0)*$U46*C$34</f>
        <v>0</v>
      </c>
      <c r="D46" s="22" t="n">
        <f aca="false">IF(AND(D$33-$S46+1-$B$22&gt;=1,D$33-$S46+1-$B$22&lt;=8),INDEX($C$27:$J$27,1,D$33-$S46+1-$B$22),0)*$U46*D$34</f>
        <v>0</v>
      </c>
      <c r="E46" s="22" t="n">
        <f aca="false">IF(AND(E$33-$S46+1-$B$22&gt;=1,E$33-$S46+1-$B$22&lt;=8),INDEX($C$27:$J$27,1,E$33-$S46+1-$B$22),0)*$U46*E$34</f>
        <v>0</v>
      </c>
      <c r="F46" s="22" t="n">
        <f aca="false">IF(AND(F$33-$S46+1-$B$22&gt;=1,F$33-$S46+1-$B$22&lt;=8),INDEX($C$27:$J$27,1,F$33-$S46+1-$B$22),0)*$U46*F$34</f>
        <v>0</v>
      </c>
      <c r="G46" s="22" t="n">
        <f aca="false">IF(AND(G$33-$S46+1-$B$22&gt;=1,G$33-$S46+1-$B$22&lt;=8),INDEX($C$27:$J$27,1,G$33-$S46+1-$B$22),0)*$U46*G$34</f>
        <v>0</v>
      </c>
      <c r="H46" s="22" t="n">
        <f aca="false">IF(AND(H$33-$S46+1-$B$22&gt;=1,H$33-$S46+1-$B$22&lt;=8),INDEX($C$27:$J$27,1,H$33-$S46+1-$B$22),0)*$U46*H$34</f>
        <v>0</v>
      </c>
      <c r="I46" s="22" t="n">
        <f aca="false">IF(AND(I$33-$S46+1-$B$22&gt;=1,I$33-$S46+1-$B$22&lt;=8),INDEX($C$27:$J$27,1,I$33-$S46+1-$B$22),0)*$U46*I$34</f>
        <v>0</v>
      </c>
      <c r="J46" s="22" t="n">
        <f aca="false">IF(AND(J$33-$S46+1-$B$22&gt;=1,J$33-$S46+1-$B$22&lt;=8),INDEX($C$27:$J$27,1,J$33-$S46+1-$B$22),0)*$U46*J$34</f>
        <v>0</v>
      </c>
      <c r="K46" s="22" t="n">
        <f aca="false">IF(AND(K$33-$S46+1-$B$22&gt;=1,K$33-$S46+1-$B$22&lt;=8),INDEX($C$27:$J$27,1,K$33-$S46+1-$B$22),0)*$U46*K$34</f>
        <v>0</v>
      </c>
      <c r="L46" s="22" t="n">
        <f aca="false">IF(AND(L$33-$S46+1-$B$22&gt;=1,L$33-$S46+1-$B$22&lt;=8),INDEX($C$27:$J$27,1,L$33-$S46+1-$B$22),0)*$U46*L$34</f>
        <v>0</v>
      </c>
      <c r="M46" s="22" t="n">
        <f aca="false">IF(AND(M$33-$S46+1-$B$22&gt;=1,M$33-$S46+1-$B$22&lt;=8),INDEX($C$27:$J$27,1,M$33-$S46+1-$B$22),0)*$U46*M$34</f>
        <v>0</v>
      </c>
      <c r="N46" s="22" t="n">
        <f aca="false">IF(AND(N$33-$S46+1-$B$22&gt;=1,N$33-$S46+1-$B$22&lt;=8),INDEX($C$27:$J$27,1,N$33-$S46+1-$B$22),0)*$U46*N$34</f>
        <v>0</v>
      </c>
      <c r="O46" s="22" t="n">
        <f aca="false">IF(AND(O$33-$S46+1-$B$22&gt;=1,O$33-$S46+1-$B$22&lt;=8),INDEX($C$27:$J$27,1,O$33-$S46+1-$B$22),0)*$U46*O$34</f>
        <v>0</v>
      </c>
      <c r="P46" s="22" t="n">
        <f aca="false">IF(AND(P$33-$S46+1-$B$22&gt;=1,P$33-$S46+1-$B$22&lt;=8),INDEX($C$27:$J$27,1,P$33-$S46+1-$B$22),0)*$U46*P$34</f>
        <v>0</v>
      </c>
      <c r="Q46" s="22" t="n">
        <f aca="false">IF(AND(Q$33-$S46+1-$B$22&gt;=1,Q$33-$S46+1-$B$22&lt;=8),INDEX($C$27:$J$27,1,Q$33-$S46+1-$B$22),0)*$U46*Q$34</f>
        <v>0</v>
      </c>
      <c r="S46" s="23" t="n">
        <f aca="false">$B$20+4</f>
        <v>2031</v>
      </c>
      <c r="T46" s="22" t="n">
        <f aca="false">IF($S46&gt;$B$20+Scenarios!$C$8-1,0,$B$19*(1+$B$21*Scenarios!$C$7)^4)</f>
        <v>0</v>
      </c>
      <c r="U46" s="24" t="n">
        <f aca="false">IFERROR($T46/INDEX($C$34:$Q$34,1,MATCH($S46,$C$33:$Q$33,0)),0)</f>
        <v>0</v>
      </c>
      <c r="V46" s="24" t="n">
        <f aca="false">SUMPRODUCT(($C$25:$J$25&lt;=$Q$33-$S46+1-$B$22)*$C$27:$J$27)*$U46</f>
        <v>0</v>
      </c>
      <c r="W46" s="24" t="n">
        <f aca="false">$U46-$V46</f>
        <v>0</v>
      </c>
    </row>
    <row r="47" customFormat="false" ht="15" hidden="false" customHeight="false" outlineLevel="0" collapsed="false">
      <c r="A47" s="2" t="s">
        <v>119</v>
      </c>
      <c r="C47" s="22" t="n">
        <f aca="false">IF(AND(C$33-$S47+1-$B$22&gt;=1,C$33-$S47+1-$B$22&lt;=8),INDEX($C$27:$J$27,1,C$33-$S47+1-$B$22),0)*$U47*C$34</f>
        <v>0</v>
      </c>
      <c r="D47" s="22" t="n">
        <f aca="false">IF(AND(D$33-$S47+1-$B$22&gt;=1,D$33-$S47+1-$B$22&lt;=8),INDEX($C$27:$J$27,1,D$33-$S47+1-$B$22),0)*$U47*D$34</f>
        <v>0</v>
      </c>
      <c r="E47" s="22" t="n">
        <f aca="false">IF(AND(E$33-$S47+1-$B$22&gt;=1,E$33-$S47+1-$B$22&lt;=8),INDEX($C$27:$J$27,1,E$33-$S47+1-$B$22),0)*$U47*E$34</f>
        <v>0</v>
      </c>
      <c r="F47" s="22" t="n">
        <f aca="false">IF(AND(F$33-$S47+1-$B$22&gt;=1,F$33-$S47+1-$B$22&lt;=8),INDEX($C$27:$J$27,1,F$33-$S47+1-$B$22),0)*$U47*F$34</f>
        <v>0</v>
      </c>
      <c r="G47" s="22" t="n">
        <f aca="false">IF(AND(G$33-$S47+1-$B$22&gt;=1,G$33-$S47+1-$B$22&lt;=8),INDEX($C$27:$J$27,1,G$33-$S47+1-$B$22),0)*$U47*G$34</f>
        <v>0</v>
      </c>
      <c r="H47" s="22" t="n">
        <f aca="false">IF(AND(H$33-$S47+1-$B$22&gt;=1,H$33-$S47+1-$B$22&lt;=8),INDEX($C$27:$J$27,1,H$33-$S47+1-$B$22),0)*$U47*H$34</f>
        <v>0</v>
      </c>
      <c r="I47" s="22" t="n">
        <f aca="false">IF(AND(I$33-$S47+1-$B$22&gt;=1,I$33-$S47+1-$B$22&lt;=8),INDEX($C$27:$J$27,1,I$33-$S47+1-$B$22),0)*$U47*I$34</f>
        <v>0</v>
      </c>
      <c r="J47" s="22" t="n">
        <f aca="false">IF(AND(J$33-$S47+1-$B$22&gt;=1,J$33-$S47+1-$B$22&lt;=8),INDEX($C$27:$J$27,1,J$33-$S47+1-$B$22),0)*$U47*J$34</f>
        <v>0</v>
      </c>
      <c r="K47" s="22" t="n">
        <f aca="false">IF(AND(K$33-$S47+1-$B$22&gt;=1,K$33-$S47+1-$B$22&lt;=8),INDEX($C$27:$J$27,1,K$33-$S47+1-$B$22),0)*$U47*K$34</f>
        <v>0</v>
      </c>
      <c r="L47" s="22" t="n">
        <f aca="false">IF(AND(L$33-$S47+1-$B$22&gt;=1,L$33-$S47+1-$B$22&lt;=8),INDEX($C$27:$J$27,1,L$33-$S47+1-$B$22),0)*$U47*L$34</f>
        <v>0</v>
      </c>
      <c r="M47" s="22" t="n">
        <f aca="false">IF(AND(M$33-$S47+1-$B$22&gt;=1,M$33-$S47+1-$B$22&lt;=8),INDEX($C$27:$J$27,1,M$33-$S47+1-$B$22),0)*$U47*M$34</f>
        <v>0</v>
      </c>
      <c r="N47" s="22" t="n">
        <f aca="false">IF(AND(N$33-$S47+1-$B$22&gt;=1,N$33-$S47+1-$B$22&lt;=8),INDEX($C$27:$J$27,1,N$33-$S47+1-$B$22),0)*$U47*N$34</f>
        <v>0</v>
      </c>
      <c r="O47" s="22" t="n">
        <f aca="false">IF(AND(O$33-$S47+1-$B$22&gt;=1,O$33-$S47+1-$B$22&lt;=8),INDEX($C$27:$J$27,1,O$33-$S47+1-$B$22),0)*$U47*O$34</f>
        <v>0</v>
      </c>
      <c r="P47" s="22" t="n">
        <f aca="false">IF(AND(P$33-$S47+1-$B$22&gt;=1,P$33-$S47+1-$B$22&lt;=8),INDEX($C$27:$J$27,1,P$33-$S47+1-$B$22),0)*$U47*P$34</f>
        <v>0</v>
      </c>
      <c r="Q47" s="22" t="n">
        <f aca="false">IF(AND(Q$33-$S47+1-$B$22&gt;=1,Q$33-$S47+1-$B$22&lt;=8),INDEX($C$27:$J$27,1,Q$33-$S47+1-$B$22),0)*$U47*Q$34</f>
        <v>0</v>
      </c>
      <c r="S47" s="23" t="n">
        <f aca="false">$B$20+5</f>
        <v>2032</v>
      </c>
      <c r="T47" s="22" t="n">
        <f aca="false">IF($S47&gt;$B$20+Scenarios!$C$8-1,0,$B$19*(1+$B$21*Scenarios!$C$7)^5)</f>
        <v>0</v>
      </c>
      <c r="U47" s="24" t="n">
        <f aca="false">IFERROR($T47/INDEX($C$34:$Q$34,1,MATCH($S47,$C$33:$Q$33,0)),0)</f>
        <v>0</v>
      </c>
      <c r="V47" s="24" t="n">
        <f aca="false">SUMPRODUCT(($C$25:$J$25&lt;=$Q$33-$S47+1-$B$22)*$C$27:$J$27)*$U47</f>
        <v>0</v>
      </c>
      <c r="W47" s="24" t="n">
        <f aca="false">$U47-$V47</f>
        <v>0</v>
      </c>
    </row>
    <row r="48" customFormat="false" ht="15" hidden="false" customHeight="false" outlineLevel="0" collapsed="false">
      <c r="A48" s="2" t="s">
        <v>120</v>
      </c>
      <c r="C48" s="22" t="n">
        <f aca="false">IF(AND(C$33-$S48+1-$B$22&gt;=1,C$33-$S48+1-$B$22&lt;=8),INDEX($C$27:$J$27,1,C$33-$S48+1-$B$22),0)*$U48*C$34</f>
        <v>0</v>
      </c>
      <c r="D48" s="22" t="n">
        <f aca="false">IF(AND(D$33-$S48+1-$B$22&gt;=1,D$33-$S48+1-$B$22&lt;=8),INDEX($C$27:$J$27,1,D$33-$S48+1-$B$22),0)*$U48*D$34</f>
        <v>0</v>
      </c>
      <c r="E48" s="22" t="n">
        <f aca="false">IF(AND(E$33-$S48+1-$B$22&gt;=1,E$33-$S48+1-$B$22&lt;=8),INDEX($C$27:$J$27,1,E$33-$S48+1-$B$22),0)*$U48*E$34</f>
        <v>0</v>
      </c>
      <c r="F48" s="22" t="n">
        <f aca="false">IF(AND(F$33-$S48+1-$B$22&gt;=1,F$33-$S48+1-$B$22&lt;=8),INDEX($C$27:$J$27,1,F$33-$S48+1-$B$22),0)*$U48*F$34</f>
        <v>0</v>
      </c>
      <c r="G48" s="22" t="n">
        <f aca="false">IF(AND(G$33-$S48+1-$B$22&gt;=1,G$33-$S48+1-$B$22&lt;=8),INDEX($C$27:$J$27,1,G$33-$S48+1-$B$22),0)*$U48*G$34</f>
        <v>0</v>
      </c>
      <c r="H48" s="22" t="n">
        <f aca="false">IF(AND(H$33-$S48+1-$B$22&gt;=1,H$33-$S48+1-$B$22&lt;=8),INDEX($C$27:$J$27,1,H$33-$S48+1-$B$22),0)*$U48*H$34</f>
        <v>0</v>
      </c>
      <c r="I48" s="22" t="n">
        <f aca="false">IF(AND(I$33-$S48+1-$B$22&gt;=1,I$33-$S48+1-$B$22&lt;=8),INDEX($C$27:$J$27,1,I$33-$S48+1-$B$22),0)*$U48*I$34</f>
        <v>0</v>
      </c>
      <c r="J48" s="22" t="n">
        <f aca="false">IF(AND(J$33-$S48+1-$B$22&gt;=1,J$33-$S48+1-$B$22&lt;=8),INDEX($C$27:$J$27,1,J$33-$S48+1-$B$22),0)*$U48*J$34</f>
        <v>0</v>
      </c>
      <c r="K48" s="22" t="n">
        <f aca="false">IF(AND(K$33-$S48+1-$B$22&gt;=1,K$33-$S48+1-$B$22&lt;=8),INDEX($C$27:$J$27,1,K$33-$S48+1-$B$22),0)*$U48*K$34</f>
        <v>0</v>
      </c>
      <c r="L48" s="22" t="n">
        <f aca="false">IF(AND(L$33-$S48+1-$B$22&gt;=1,L$33-$S48+1-$B$22&lt;=8),INDEX($C$27:$J$27,1,L$33-$S48+1-$B$22),0)*$U48*L$34</f>
        <v>0</v>
      </c>
      <c r="M48" s="22" t="n">
        <f aca="false">IF(AND(M$33-$S48+1-$B$22&gt;=1,M$33-$S48+1-$B$22&lt;=8),INDEX($C$27:$J$27,1,M$33-$S48+1-$B$22),0)*$U48*M$34</f>
        <v>0</v>
      </c>
      <c r="N48" s="22" t="n">
        <f aca="false">IF(AND(N$33-$S48+1-$B$22&gt;=1,N$33-$S48+1-$B$22&lt;=8),INDEX($C$27:$J$27,1,N$33-$S48+1-$B$22),0)*$U48*N$34</f>
        <v>0</v>
      </c>
      <c r="O48" s="22" t="n">
        <f aca="false">IF(AND(O$33-$S48+1-$B$22&gt;=1,O$33-$S48+1-$B$22&lt;=8),INDEX($C$27:$J$27,1,O$33-$S48+1-$B$22),0)*$U48*O$34</f>
        <v>0</v>
      </c>
      <c r="P48" s="22" t="n">
        <f aca="false">IF(AND(P$33-$S48+1-$B$22&gt;=1,P$33-$S48+1-$B$22&lt;=8),INDEX($C$27:$J$27,1,P$33-$S48+1-$B$22),0)*$U48*P$34</f>
        <v>0</v>
      </c>
      <c r="Q48" s="22" t="n">
        <f aca="false">IF(AND(Q$33-$S48+1-$B$22&gt;=1,Q$33-$S48+1-$B$22&lt;=8),INDEX($C$27:$J$27,1,Q$33-$S48+1-$B$22),0)*$U48*Q$34</f>
        <v>0</v>
      </c>
      <c r="S48" s="23" t="n">
        <f aca="false">$B$20+6</f>
        <v>2033</v>
      </c>
      <c r="T48" s="22" t="n">
        <f aca="false">IF($S48&gt;$B$20+Scenarios!$C$8-1,0,$B$19*(1+$B$21*Scenarios!$C$7)^6)</f>
        <v>0</v>
      </c>
      <c r="U48" s="24" t="n">
        <f aca="false">IFERROR($T48/INDEX($C$34:$Q$34,1,MATCH($S48,$C$33:$Q$33,0)),0)</f>
        <v>0</v>
      </c>
      <c r="V48" s="24" t="n">
        <f aca="false">SUMPRODUCT(($C$25:$J$25&lt;=$Q$33-$S48+1-$B$22)*$C$27:$J$27)*$U48</f>
        <v>0</v>
      </c>
      <c r="W48" s="24" t="n">
        <f aca="false">$U48-$V48</f>
        <v>0</v>
      </c>
    </row>
    <row r="49" customFormat="false" ht="15" hidden="false" customHeight="false" outlineLevel="0" collapsed="false">
      <c r="A49" s="2" t="s">
        <v>121</v>
      </c>
      <c r="C49" s="22" t="n">
        <f aca="false">IF(AND(C$33-$S49+1-$B$22&gt;=1,C$33-$S49+1-$B$22&lt;=8),INDEX($C$27:$J$27,1,C$33-$S49+1-$B$22),0)*$U49*C$34</f>
        <v>0</v>
      </c>
      <c r="D49" s="22" t="n">
        <f aca="false">IF(AND(D$33-$S49+1-$B$22&gt;=1,D$33-$S49+1-$B$22&lt;=8),INDEX($C$27:$J$27,1,D$33-$S49+1-$B$22),0)*$U49*D$34</f>
        <v>0</v>
      </c>
      <c r="E49" s="22" t="n">
        <f aca="false">IF(AND(E$33-$S49+1-$B$22&gt;=1,E$33-$S49+1-$B$22&lt;=8),INDEX($C$27:$J$27,1,E$33-$S49+1-$B$22),0)*$U49*E$34</f>
        <v>0</v>
      </c>
      <c r="F49" s="22" t="n">
        <f aca="false">IF(AND(F$33-$S49+1-$B$22&gt;=1,F$33-$S49+1-$B$22&lt;=8),INDEX($C$27:$J$27,1,F$33-$S49+1-$B$22),0)*$U49*F$34</f>
        <v>0</v>
      </c>
      <c r="G49" s="22" t="n">
        <f aca="false">IF(AND(G$33-$S49+1-$B$22&gt;=1,G$33-$S49+1-$B$22&lt;=8),INDEX($C$27:$J$27,1,G$33-$S49+1-$B$22),0)*$U49*G$34</f>
        <v>0</v>
      </c>
      <c r="H49" s="22" t="n">
        <f aca="false">IF(AND(H$33-$S49+1-$B$22&gt;=1,H$33-$S49+1-$B$22&lt;=8),INDEX($C$27:$J$27,1,H$33-$S49+1-$B$22),0)*$U49*H$34</f>
        <v>0</v>
      </c>
      <c r="I49" s="22" t="n">
        <f aca="false">IF(AND(I$33-$S49+1-$B$22&gt;=1,I$33-$S49+1-$B$22&lt;=8),INDEX($C$27:$J$27,1,I$33-$S49+1-$B$22),0)*$U49*I$34</f>
        <v>0</v>
      </c>
      <c r="J49" s="22" t="n">
        <f aca="false">IF(AND(J$33-$S49+1-$B$22&gt;=1,J$33-$S49+1-$B$22&lt;=8),INDEX($C$27:$J$27,1,J$33-$S49+1-$B$22),0)*$U49*J$34</f>
        <v>0</v>
      </c>
      <c r="K49" s="22" t="n">
        <f aca="false">IF(AND(K$33-$S49+1-$B$22&gt;=1,K$33-$S49+1-$B$22&lt;=8),INDEX($C$27:$J$27,1,K$33-$S49+1-$B$22),0)*$U49*K$34</f>
        <v>0</v>
      </c>
      <c r="L49" s="22" t="n">
        <f aca="false">IF(AND(L$33-$S49+1-$B$22&gt;=1,L$33-$S49+1-$B$22&lt;=8),INDEX($C$27:$J$27,1,L$33-$S49+1-$B$22),0)*$U49*L$34</f>
        <v>0</v>
      </c>
      <c r="M49" s="22" t="n">
        <f aca="false">IF(AND(M$33-$S49+1-$B$22&gt;=1,M$33-$S49+1-$B$22&lt;=8),INDEX($C$27:$J$27,1,M$33-$S49+1-$B$22),0)*$U49*M$34</f>
        <v>0</v>
      </c>
      <c r="N49" s="22" t="n">
        <f aca="false">IF(AND(N$33-$S49+1-$B$22&gt;=1,N$33-$S49+1-$B$22&lt;=8),INDEX($C$27:$J$27,1,N$33-$S49+1-$B$22),0)*$U49*N$34</f>
        <v>0</v>
      </c>
      <c r="O49" s="22" t="n">
        <f aca="false">IF(AND(O$33-$S49+1-$B$22&gt;=1,O$33-$S49+1-$B$22&lt;=8),INDEX($C$27:$J$27,1,O$33-$S49+1-$B$22),0)*$U49*O$34</f>
        <v>0</v>
      </c>
      <c r="P49" s="22" t="n">
        <f aca="false">IF(AND(P$33-$S49+1-$B$22&gt;=1,P$33-$S49+1-$B$22&lt;=8),INDEX($C$27:$J$27,1,P$33-$S49+1-$B$22),0)*$U49*P$34</f>
        <v>0</v>
      </c>
      <c r="Q49" s="22" t="n">
        <f aca="false">IF(AND(Q$33-$S49+1-$B$22&gt;=1,Q$33-$S49+1-$B$22&lt;=8),INDEX($C$27:$J$27,1,Q$33-$S49+1-$B$22),0)*$U49*Q$34</f>
        <v>0</v>
      </c>
      <c r="S49" s="23" t="n">
        <f aca="false">$B$20+7</f>
        <v>2034</v>
      </c>
      <c r="T49" s="22" t="n">
        <f aca="false">IF($S49&gt;$B$20+Scenarios!$C$8-1,0,$B$19*(1+$B$21*Scenarios!$C$7)^7)</f>
        <v>0</v>
      </c>
      <c r="U49" s="24" t="n">
        <f aca="false">IFERROR($T49/INDEX($C$34:$Q$34,1,MATCH($S49,$C$33:$Q$33,0)),0)</f>
        <v>0</v>
      </c>
      <c r="V49" s="24" t="n">
        <f aca="false">SUMPRODUCT(($C$25:$J$25&lt;=$Q$33-$S49+1-$B$22)*$C$27:$J$27)*$U49</f>
        <v>0</v>
      </c>
      <c r="W49" s="24" t="n">
        <f aca="false">$U49-$V49</f>
        <v>0</v>
      </c>
    </row>
    <row r="50" customFormat="false" ht="15" hidden="false" customHeight="false" outlineLevel="0" collapsed="false">
      <c r="A50" s="2" t="s">
        <v>122</v>
      </c>
      <c r="C50" s="22" t="n">
        <f aca="false">IF(AND(C$33-$S50+1-$B$22&gt;=1,C$33-$S50+1-$B$22&lt;=8),INDEX($C$27:$J$27,1,C$33-$S50+1-$B$22),0)*$U50*C$34</f>
        <v>0</v>
      </c>
      <c r="D50" s="22" t="n">
        <f aca="false">IF(AND(D$33-$S50+1-$B$22&gt;=1,D$33-$S50+1-$B$22&lt;=8),INDEX($C$27:$J$27,1,D$33-$S50+1-$B$22),0)*$U50*D$34</f>
        <v>0</v>
      </c>
      <c r="E50" s="22" t="n">
        <f aca="false">IF(AND(E$33-$S50+1-$B$22&gt;=1,E$33-$S50+1-$B$22&lt;=8),INDEX($C$27:$J$27,1,E$33-$S50+1-$B$22),0)*$U50*E$34</f>
        <v>0</v>
      </c>
      <c r="F50" s="22" t="n">
        <f aca="false">IF(AND(F$33-$S50+1-$B$22&gt;=1,F$33-$S50+1-$B$22&lt;=8),INDEX($C$27:$J$27,1,F$33-$S50+1-$B$22),0)*$U50*F$34</f>
        <v>0</v>
      </c>
      <c r="G50" s="22" t="n">
        <f aca="false">IF(AND(G$33-$S50+1-$B$22&gt;=1,G$33-$S50+1-$B$22&lt;=8),INDEX($C$27:$J$27,1,G$33-$S50+1-$B$22),0)*$U50*G$34</f>
        <v>0</v>
      </c>
      <c r="H50" s="22" t="n">
        <f aca="false">IF(AND(H$33-$S50+1-$B$22&gt;=1,H$33-$S50+1-$B$22&lt;=8),INDEX($C$27:$J$27,1,H$33-$S50+1-$B$22),0)*$U50*H$34</f>
        <v>0</v>
      </c>
      <c r="I50" s="22" t="n">
        <f aca="false">IF(AND(I$33-$S50+1-$B$22&gt;=1,I$33-$S50+1-$B$22&lt;=8),INDEX($C$27:$J$27,1,I$33-$S50+1-$B$22),0)*$U50*I$34</f>
        <v>0</v>
      </c>
      <c r="J50" s="22" t="n">
        <f aca="false">IF(AND(J$33-$S50+1-$B$22&gt;=1,J$33-$S50+1-$B$22&lt;=8),INDEX($C$27:$J$27,1,J$33-$S50+1-$B$22),0)*$U50*J$34</f>
        <v>0</v>
      </c>
      <c r="K50" s="22" t="n">
        <f aca="false">IF(AND(K$33-$S50+1-$B$22&gt;=1,K$33-$S50+1-$B$22&lt;=8),INDEX($C$27:$J$27,1,K$33-$S50+1-$B$22),0)*$U50*K$34</f>
        <v>0</v>
      </c>
      <c r="L50" s="22" t="n">
        <f aca="false">IF(AND(L$33-$S50+1-$B$22&gt;=1,L$33-$S50+1-$B$22&lt;=8),INDEX($C$27:$J$27,1,L$33-$S50+1-$B$22),0)*$U50*L$34</f>
        <v>0</v>
      </c>
      <c r="M50" s="22" t="n">
        <f aca="false">IF(AND(M$33-$S50+1-$B$22&gt;=1,M$33-$S50+1-$B$22&lt;=8),INDEX($C$27:$J$27,1,M$33-$S50+1-$B$22),0)*$U50*M$34</f>
        <v>0</v>
      </c>
      <c r="N50" s="22" t="n">
        <f aca="false">IF(AND(N$33-$S50+1-$B$22&gt;=1,N$33-$S50+1-$B$22&lt;=8),INDEX($C$27:$J$27,1,N$33-$S50+1-$B$22),0)*$U50*N$34</f>
        <v>0</v>
      </c>
      <c r="O50" s="22" t="n">
        <f aca="false">IF(AND(O$33-$S50+1-$B$22&gt;=1,O$33-$S50+1-$B$22&lt;=8),INDEX($C$27:$J$27,1,O$33-$S50+1-$B$22),0)*$U50*O$34</f>
        <v>0</v>
      </c>
      <c r="P50" s="22" t="n">
        <f aca="false">IF(AND(P$33-$S50+1-$B$22&gt;=1,P$33-$S50+1-$B$22&lt;=8),INDEX($C$27:$J$27,1,P$33-$S50+1-$B$22),0)*$U50*P$34</f>
        <v>0</v>
      </c>
      <c r="Q50" s="22" t="n">
        <f aca="false">IF(AND(Q$33-$S50+1-$B$22&gt;=1,Q$33-$S50+1-$B$22&lt;=8),INDEX($C$27:$J$27,1,Q$33-$S50+1-$B$22),0)*$U50*Q$34</f>
        <v>0</v>
      </c>
      <c r="S50" s="23" t="n">
        <f aca="false">$B$20+8</f>
        <v>2035</v>
      </c>
      <c r="T50" s="22" t="n">
        <f aca="false">IF($S50&gt;$B$20+Scenarios!$C$8-1,0,$B$19*(1+$B$21*Scenarios!$C$7)^8)</f>
        <v>0</v>
      </c>
      <c r="U50" s="24" t="n">
        <f aca="false">IFERROR($T50/INDEX($C$34:$Q$34,1,MATCH($S50,$C$33:$Q$33,0)),0)</f>
        <v>0</v>
      </c>
      <c r="V50" s="24" t="n">
        <f aca="false">SUMPRODUCT(($C$25:$J$25&lt;=$Q$33-$S50+1-$B$22)*$C$27:$J$27)*$U50</f>
        <v>0</v>
      </c>
      <c r="W50" s="24" t="n">
        <f aca="false">$U50-$V50</f>
        <v>0</v>
      </c>
    </row>
    <row r="51" customFormat="false" ht="15" hidden="false" customHeight="false" outlineLevel="0" collapsed="false">
      <c r="A51" s="2" t="s">
        <v>123</v>
      </c>
      <c r="C51" s="22" t="n">
        <f aca="false">IF(AND(C$33-$S51+1-$B$22&gt;=1,C$33-$S51+1-$B$22&lt;=8),INDEX($C$27:$J$27,1,C$33-$S51+1-$B$22),0)*$U51*C$34</f>
        <v>0</v>
      </c>
      <c r="D51" s="22" t="n">
        <f aca="false">IF(AND(D$33-$S51+1-$B$22&gt;=1,D$33-$S51+1-$B$22&lt;=8),INDEX($C$27:$J$27,1,D$33-$S51+1-$B$22),0)*$U51*D$34</f>
        <v>0</v>
      </c>
      <c r="E51" s="22" t="n">
        <f aca="false">IF(AND(E$33-$S51+1-$B$22&gt;=1,E$33-$S51+1-$B$22&lt;=8),INDEX($C$27:$J$27,1,E$33-$S51+1-$B$22),0)*$U51*E$34</f>
        <v>0</v>
      </c>
      <c r="F51" s="22" t="n">
        <f aca="false">IF(AND(F$33-$S51+1-$B$22&gt;=1,F$33-$S51+1-$B$22&lt;=8),INDEX($C$27:$J$27,1,F$33-$S51+1-$B$22),0)*$U51*F$34</f>
        <v>0</v>
      </c>
      <c r="G51" s="22" t="n">
        <f aca="false">IF(AND(G$33-$S51+1-$B$22&gt;=1,G$33-$S51+1-$B$22&lt;=8),INDEX($C$27:$J$27,1,G$33-$S51+1-$B$22),0)*$U51*G$34</f>
        <v>0</v>
      </c>
      <c r="H51" s="22" t="n">
        <f aca="false">IF(AND(H$33-$S51+1-$B$22&gt;=1,H$33-$S51+1-$B$22&lt;=8),INDEX($C$27:$J$27,1,H$33-$S51+1-$B$22),0)*$U51*H$34</f>
        <v>0</v>
      </c>
      <c r="I51" s="22" t="n">
        <f aca="false">IF(AND(I$33-$S51+1-$B$22&gt;=1,I$33-$S51+1-$B$22&lt;=8),INDEX($C$27:$J$27,1,I$33-$S51+1-$B$22),0)*$U51*I$34</f>
        <v>0</v>
      </c>
      <c r="J51" s="22" t="n">
        <f aca="false">IF(AND(J$33-$S51+1-$B$22&gt;=1,J$33-$S51+1-$B$22&lt;=8),INDEX($C$27:$J$27,1,J$33-$S51+1-$B$22),0)*$U51*J$34</f>
        <v>0</v>
      </c>
      <c r="K51" s="22" t="n">
        <f aca="false">IF(AND(K$33-$S51+1-$B$22&gt;=1,K$33-$S51+1-$B$22&lt;=8),INDEX($C$27:$J$27,1,K$33-$S51+1-$B$22),0)*$U51*K$34</f>
        <v>0</v>
      </c>
      <c r="L51" s="22" t="n">
        <f aca="false">IF(AND(L$33-$S51+1-$B$22&gt;=1,L$33-$S51+1-$B$22&lt;=8),INDEX($C$27:$J$27,1,L$33-$S51+1-$B$22),0)*$U51*L$34</f>
        <v>0</v>
      </c>
      <c r="M51" s="22" t="n">
        <f aca="false">IF(AND(M$33-$S51+1-$B$22&gt;=1,M$33-$S51+1-$B$22&lt;=8),INDEX($C$27:$J$27,1,M$33-$S51+1-$B$22),0)*$U51*M$34</f>
        <v>0</v>
      </c>
      <c r="N51" s="22" t="n">
        <f aca="false">IF(AND(N$33-$S51+1-$B$22&gt;=1,N$33-$S51+1-$B$22&lt;=8),INDEX($C$27:$J$27,1,N$33-$S51+1-$B$22),0)*$U51*N$34</f>
        <v>0</v>
      </c>
      <c r="O51" s="22" t="n">
        <f aca="false">IF(AND(O$33-$S51+1-$B$22&gt;=1,O$33-$S51+1-$B$22&lt;=8),INDEX($C$27:$J$27,1,O$33-$S51+1-$B$22),0)*$U51*O$34</f>
        <v>0</v>
      </c>
      <c r="P51" s="22" t="n">
        <f aca="false">IF(AND(P$33-$S51+1-$B$22&gt;=1,P$33-$S51+1-$B$22&lt;=8),INDEX($C$27:$J$27,1,P$33-$S51+1-$B$22),0)*$U51*P$34</f>
        <v>0</v>
      </c>
      <c r="Q51" s="22" t="n">
        <f aca="false">IF(AND(Q$33-$S51+1-$B$22&gt;=1,Q$33-$S51+1-$B$22&lt;=8),INDEX($C$27:$J$27,1,Q$33-$S51+1-$B$22),0)*$U51*Q$34</f>
        <v>0</v>
      </c>
      <c r="S51" s="23" t="n">
        <f aca="false">$B$20+9</f>
        <v>2036</v>
      </c>
      <c r="T51" s="22" t="n">
        <f aca="false">IF($S51&gt;$B$20+Scenarios!$C$8-1,0,$B$19*(1+$B$21*Scenarios!$C$7)^9)</f>
        <v>0</v>
      </c>
      <c r="U51" s="24" t="n">
        <f aca="false">IFERROR($T51/INDEX($C$34:$Q$34,1,MATCH($S51,$C$33:$Q$33,0)),0)</f>
        <v>0</v>
      </c>
      <c r="V51" s="24" t="n">
        <f aca="false">SUMPRODUCT(($C$25:$J$25&lt;=$Q$33-$S51+1-$B$22)*$C$27:$J$27)*$U51</f>
        <v>0</v>
      </c>
      <c r="W51" s="24" t="n">
        <f aca="false">$U51-$V51</f>
        <v>0</v>
      </c>
    </row>
    <row r="52" customFormat="false" ht="15" hidden="false" customHeight="false" outlineLevel="0" collapsed="false">
      <c r="A52" s="2" t="s">
        <v>124</v>
      </c>
      <c r="C52" s="22" t="n">
        <f aca="false">IF(AND(C$33-$S52+1-$B$22&gt;=1,C$33-$S52+1-$B$22&lt;=8),INDEX($C$27:$J$27,1,C$33-$S52+1-$B$22),0)*$U52*C$34</f>
        <v>0</v>
      </c>
      <c r="D52" s="22" t="n">
        <f aca="false">IF(AND(D$33-$S52+1-$B$22&gt;=1,D$33-$S52+1-$B$22&lt;=8),INDEX($C$27:$J$27,1,D$33-$S52+1-$B$22),0)*$U52*D$34</f>
        <v>0</v>
      </c>
      <c r="E52" s="22" t="n">
        <f aca="false">IF(AND(E$33-$S52+1-$B$22&gt;=1,E$33-$S52+1-$B$22&lt;=8),INDEX($C$27:$J$27,1,E$33-$S52+1-$B$22),0)*$U52*E$34</f>
        <v>0</v>
      </c>
      <c r="F52" s="22" t="n">
        <f aca="false">IF(AND(F$33-$S52+1-$B$22&gt;=1,F$33-$S52+1-$B$22&lt;=8),INDEX($C$27:$J$27,1,F$33-$S52+1-$B$22),0)*$U52*F$34</f>
        <v>0</v>
      </c>
      <c r="G52" s="22" t="n">
        <f aca="false">IF(AND(G$33-$S52+1-$B$22&gt;=1,G$33-$S52+1-$B$22&lt;=8),INDEX($C$27:$J$27,1,G$33-$S52+1-$B$22),0)*$U52*G$34</f>
        <v>0</v>
      </c>
      <c r="H52" s="22" t="n">
        <f aca="false">IF(AND(H$33-$S52+1-$B$22&gt;=1,H$33-$S52+1-$B$22&lt;=8),INDEX($C$27:$J$27,1,H$33-$S52+1-$B$22),0)*$U52*H$34</f>
        <v>0</v>
      </c>
      <c r="I52" s="22" t="n">
        <f aca="false">IF(AND(I$33-$S52+1-$B$22&gt;=1,I$33-$S52+1-$B$22&lt;=8),INDEX($C$27:$J$27,1,I$33-$S52+1-$B$22),0)*$U52*I$34</f>
        <v>0</v>
      </c>
      <c r="J52" s="22" t="n">
        <f aca="false">IF(AND(J$33-$S52+1-$B$22&gt;=1,J$33-$S52+1-$B$22&lt;=8),INDEX($C$27:$J$27,1,J$33-$S52+1-$B$22),0)*$U52*J$34</f>
        <v>0</v>
      </c>
      <c r="K52" s="22" t="n">
        <f aca="false">IF(AND(K$33-$S52+1-$B$22&gt;=1,K$33-$S52+1-$B$22&lt;=8),INDEX($C$27:$J$27,1,K$33-$S52+1-$B$22),0)*$U52*K$34</f>
        <v>0</v>
      </c>
      <c r="L52" s="22" t="n">
        <f aca="false">IF(AND(L$33-$S52+1-$B$22&gt;=1,L$33-$S52+1-$B$22&lt;=8),INDEX($C$27:$J$27,1,L$33-$S52+1-$B$22),0)*$U52*L$34</f>
        <v>0</v>
      </c>
      <c r="M52" s="22" t="n">
        <f aca="false">IF(AND(M$33-$S52+1-$B$22&gt;=1,M$33-$S52+1-$B$22&lt;=8),INDEX($C$27:$J$27,1,M$33-$S52+1-$B$22),0)*$U52*M$34</f>
        <v>0</v>
      </c>
      <c r="N52" s="22" t="n">
        <f aca="false">IF(AND(N$33-$S52+1-$B$22&gt;=1,N$33-$S52+1-$B$22&lt;=8),INDEX($C$27:$J$27,1,N$33-$S52+1-$B$22),0)*$U52*N$34</f>
        <v>0</v>
      </c>
      <c r="O52" s="22" t="n">
        <f aca="false">IF(AND(O$33-$S52+1-$B$22&gt;=1,O$33-$S52+1-$B$22&lt;=8),INDEX($C$27:$J$27,1,O$33-$S52+1-$B$22),0)*$U52*O$34</f>
        <v>0</v>
      </c>
      <c r="P52" s="22" t="n">
        <f aca="false">IF(AND(P$33-$S52+1-$B$22&gt;=1,P$33-$S52+1-$B$22&lt;=8),INDEX($C$27:$J$27,1,P$33-$S52+1-$B$22),0)*$U52*P$34</f>
        <v>0</v>
      </c>
      <c r="Q52" s="22" t="n">
        <f aca="false">IF(AND(Q$33-$S52+1-$B$22&gt;=1,Q$33-$S52+1-$B$22&lt;=8),INDEX($C$27:$J$27,1,Q$33-$S52+1-$B$22),0)*$U52*Q$34</f>
        <v>0</v>
      </c>
      <c r="S52" s="23" t="n">
        <f aca="false">$B$20+10</f>
        <v>2037</v>
      </c>
      <c r="T52" s="22" t="n">
        <f aca="false">IF($S52&gt;$B$20+Scenarios!$C$8-1,0,$B$19*(1+$B$21*Scenarios!$C$7)^10)</f>
        <v>0</v>
      </c>
      <c r="U52" s="24" t="n">
        <f aca="false">IFERROR($T52/INDEX($C$34:$Q$34,1,MATCH($S52,$C$33:$Q$33,0)),0)</f>
        <v>0</v>
      </c>
      <c r="V52" s="24" t="n">
        <f aca="false">SUMPRODUCT(($C$25:$J$25&lt;=$Q$33-$S52+1-$B$22)*$C$27:$J$27)*$U52</f>
        <v>0</v>
      </c>
      <c r="W52" s="24" t="n">
        <f aca="false">$U52-$V52</f>
        <v>0</v>
      </c>
    </row>
    <row r="53" customFormat="false" ht="15" hidden="false" customHeight="false" outlineLevel="0" collapsed="false">
      <c r="A53" s="2" t="s">
        <v>125</v>
      </c>
      <c r="C53" s="22" t="n">
        <f aca="false">IF(AND(C$33-$S53+1-$B$22&gt;=1,C$33-$S53+1-$B$22&lt;=8),INDEX($C$27:$J$27,1,C$33-$S53+1-$B$22),0)*$U53*C$34</f>
        <v>0</v>
      </c>
      <c r="D53" s="22" t="n">
        <f aca="false">IF(AND(D$33-$S53+1-$B$22&gt;=1,D$33-$S53+1-$B$22&lt;=8),INDEX($C$27:$J$27,1,D$33-$S53+1-$B$22),0)*$U53*D$34</f>
        <v>0</v>
      </c>
      <c r="E53" s="22" t="n">
        <f aca="false">IF(AND(E$33-$S53+1-$B$22&gt;=1,E$33-$S53+1-$B$22&lt;=8),INDEX($C$27:$J$27,1,E$33-$S53+1-$B$22),0)*$U53*E$34</f>
        <v>0</v>
      </c>
      <c r="F53" s="22" t="n">
        <f aca="false">IF(AND(F$33-$S53+1-$B$22&gt;=1,F$33-$S53+1-$B$22&lt;=8),INDEX($C$27:$J$27,1,F$33-$S53+1-$B$22),0)*$U53*F$34</f>
        <v>0</v>
      </c>
      <c r="G53" s="22" t="n">
        <f aca="false">IF(AND(G$33-$S53+1-$B$22&gt;=1,G$33-$S53+1-$B$22&lt;=8),INDEX($C$27:$J$27,1,G$33-$S53+1-$B$22),0)*$U53*G$34</f>
        <v>0</v>
      </c>
      <c r="H53" s="22" t="n">
        <f aca="false">IF(AND(H$33-$S53+1-$B$22&gt;=1,H$33-$S53+1-$B$22&lt;=8),INDEX($C$27:$J$27,1,H$33-$S53+1-$B$22),0)*$U53*H$34</f>
        <v>0</v>
      </c>
      <c r="I53" s="22" t="n">
        <f aca="false">IF(AND(I$33-$S53+1-$B$22&gt;=1,I$33-$S53+1-$B$22&lt;=8),INDEX($C$27:$J$27,1,I$33-$S53+1-$B$22),0)*$U53*I$34</f>
        <v>0</v>
      </c>
      <c r="J53" s="22" t="n">
        <f aca="false">IF(AND(J$33-$S53+1-$B$22&gt;=1,J$33-$S53+1-$B$22&lt;=8),INDEX($C$27:$J$27,1,J$33-$S53+1-$B$22),0)*$U53*J$34</f>
        <v>0</v>
      </c>
      <c r="K53" s="22" t="n">
        <f aca="false">IF(AND(K$33-$S53+1-$B$22&gt;=1,K$33-$S53+1-$B$22&lt;=8),INDEX($C$27:$J$27,1,K$33-$S53+1-$B$22),0)*$U53*K$34</f>
        <v>0</v>
      </c>
      <c r="L53" s="22" t="n">
        <f aca="false">IF(AND(L$33-$S53+1-$B$22&gt;=1,L$33-$S53+1-$B$22&lt;=8),INDEX($C$27:$J$27,1,L$33-$S53+1-$B$22),0)*$U53*L$34</f>
        <v>0</v>
      </c>
      <c r="M53" s="22" t="n">
        <f aca="false">IF(AND(M$33-$S53+1-$B$22&gt;=1,M$33-$S53+1-$B$22&lt;=8),INDEX($C$27:$J$27,1,M$33-$S53+1-$B$22),0)*$U53*M$34</f>
        <v>0</v>
      </c>
      <c r="N53" s="22" t="n">
        <f aca="false">IF(AND(N$33-$S53+1-$B$22&gt;=1,N$33-$S53+1-$B$22&lt;=8),INDEX($C$27:$J$27,1,N$33-$S53+1-$B$22),0)*$U53*N$34</f>
        <v>0</v>
      </c>
      <c r="O53" s="22" t="n">
        <f aca="false">IF(AND(O$33-$S53+1-$B$22&gt;=1,O$33-$S53+1-$B$22&lt;=8),INDEX($C$27:$J$27,1,O$33-$S53+1-$B$22),0)*$U53*O$34</f>
        <v>0</v>
      </c>
      <c r="P53" s="22" t="n">
        <f aca="false">IF(AND(P$33-$S53+1-$B$22&gt;=1,P$33-$S53+1-$B$22&lt;=8),INDEX($C$27:$J$27,1,P$33-$S53+1-$B$22),0)*$U53*P$34</f>
        <v>0</v>
      </c>
      <c r="Q53" s="22" t="n">
        <f aca="false">IF(AND(Q$33-$S53+1-$B$22&gt;=1,Q$33-$S53+1-$B$22&lt;=8),INDEX($C$27:$J$27,1,Q$33-$S53+1-$B$22),0)*$U53*Q$34</f>
        <v>0</v>
      </c>
      <c r="S53" s="23" t="n">
        <f aca="false">$B$20+11</f>
        <v>2038</v>
      </c>
      <c r="T53" s="22" t="n">
        <f aca="false">IF($S53&gt;$B$20+Scenarios!$C$8-1,0,$B$19*(1+$B$21*Scenarios!$C$7)^11)</f>
        <v>0</v>
      </c>
      <c r="U53" s="24" t="n">
        <f aca="false">IFERROR($T53/INDEX($C$34:$Q$34,1,MATCH($S53,$C$33:$Q$33,0)),0)</f>
        <v>0</v>
      </c>
      <c r="V53" s="24" t="n">
        <f aca="false">SUMPRODUCT(($C$25:$J$25&lt;=$Q$33-$S53+1-$B$22)*$C$27:$J$27)*$U53</f>
        <v>0</v>
      </c>
      <c r="W53" s="24" t="n">
        <f aca="false">$U53-$V53</f>
        <v>0</v>
      </c>
    </row>
    <row r="55" customFormat="false" ht="15" hidden="false" customHeight="false" outlineLevel="0" collapsed="false">
      <c r="A55" s="2" t="s">
        <v>126</v>
      </c>
      <c r="C55" s="22" t="n">
        <f aca="false">C41</f>
        <v>0</v>
      </c>
      <c r="D55" s="22" t="n">
        <f aca="false">D41</f>
        <v>0</v>
      </c>
      <c r="E55" s="22" t="n">
        <f aca="false">E41</f>
        <v>0</v>
      </c>
      <c r="F55" s="22" t="n">
        <f aca="false">F41</f>
        <v>0</v>
      </c>
      <c r="G55" s="22" t="n">
        <f aca="false">G41</f>
        <v>0</v>
      </c>
      <c r="H55" s="22" t="n">
        <f aca="false">H41</f>
        <v>0</v>
      </c>
      <c r="I55" s="22" t="n">
        <f aca="false">I41</f>
        <v>0</v>
      </c>
      <c r="J55" s="22" t="n">
        <f aca="false">J41</f>
        <v>0</v>
      </c>
      <c r="K55" s="22" t="n">
        <f aca="false">K41</f>
        <v>0</v>
      </c>
      <c r="L55" s="22" t="n">
        <f aca="false">L41</f>
        <v>0</v>
      </c>
      <c r="M55" s="22" t="n">
        <f aca="false">M41</f>
        <v>0</v>
      </c>
      <c r="N55" s="22" t="n">
        <f aca="false">N41</f>
        <v>0</v>
      </c>
      <c r="O55" s="22" t="n">
        <f aca="false">O41</f>
        <v>0</v>
      </c>
      <c r="P55" s="22" t="n">
        <f aca="false">P41</f>
        <v>0</v>
      </c>
      <c r="Q55" s="22" t="n">
        <f aca="false">Q41</f>
        <v>0</v>
      </c>
    </row>
    <row r="56" customFormat="false" ht="15" hidden="false" customHeight="false" outlineLevel="0" collapsed="false">
      <c r="A56" s="2" t="s">
        <v>127</v>
      </c>
      <c r="C56" s="22" t="n">
        <f aca="false">SUM(C42:C53)</f>
        <v>0</v>
      </c>
      <c r="D56" s="22" t="n">
        <f aca="false">SUM(D42:D53)</f>
        <v>0</v>
      </c>
      <c r="E56" s="22" t="n">
        <f aca="false">SUM(E42:E53)</f>
        <v>0</v>
      </c>
      <c r="F56" s="22" t="n">
        <f aca="false">SUM(F42:F53)</f>
        <v>0</v>
      </c>
      <c r="G56" s="22" t="n">
        <f aca="false">SUM(G42:G53)</f>
        <v>0</v>
      </c>
      <c r="H56" s="22" t="n">
        <f aca="false">SUM(H42:H53)</f>
        <v>0</v>
      </c>
      <c r="I56" s="22" t="n">
        <f aca="false">SUM(I42:I53)</f>
        <v>0</v>
      </c>
      <c r="J56" s="22" t="n">
        <f aca="false">SUM(J42:J53)</f>
        <v>0</v>
      </c>
      <c r="K56" s="22" t="n">
        <f aca="false">SUM(K42:K53)</f>
        <v>0</v>
      </c>
      <c r="L56" s="22" t="n">
        <f aca="false">SUM(L42:L53)</f>
        <v>0</v>
      </c>
      <c r="M56" s="22" t="n">
        <f aca="false">SUM(M42:M53)</f>
        <v>0</v>
      </c>
      <c r="N56" s="22" t="n">
        <f aca="false">SUM(N42:N53)</f>
        <v>0</v>
      </c>
      <c r="O56" s="22" t="n">
        <f aca="false">SUM(O42:O53)</f>
        <v>0</v>
      </c>
      <c r="P56" s="22" t="n">
        <f aca="false">SUM(P42:P53)</f>
        <v>0</v>
      </c>
      <c r="Q56" s="22" t="n">
        <f aca="false">SUM(Q42:Q53)</f>
        <v>0</v>
      </c>
    </row>
    <row r="57" customFormat="false" ht="15" hidden="false" customHeight="false" outlineLevel="0" collapsed="false">
      <c r="A57" s="3" t="s">
        <v>128</v>
      </c>
      <c r="C57" s="25" t="n">
        <f aca="false">C55+C56</f>
        <v>0</v>
      </c>
      <c r="D57" s="25" t="n">
        <f aca="false">D55+D56</f>
        <v>0</v>
      </c>
      <c r="E57" s="25" t="n">
        <f aca="false">E55+E56</f>
        <v>0</v>
      </c>
      <c r="F57" s="25" t="n">
        <f aca="false">F55+F56</f>
        <v>0</v>
      </c>
      <c r="G57" s="25" t="n">
        <f aca="false">G55+G56</f>
        <v>0</v>
      </c>
      <c r="H57" s="25" t="n">
        <f aca="false">H55+H56</f>
        <v>0</v>
      </c>
      <c r="I57" s="25" t="n">
        <f aca="false">I55+I56</f>
        <v>0</v>
      </c>
      <c r="J57" s="25" t="n">
        <f aca="false">J55+J56</f>
        <v>0</v>
      </c>
      <c r="K57" s="25" t="n">
        <f aca="false">K55+K56</f>
        <v>0</v>
      </c>
      <c r="L57" s="25" t="n">
        <f aca="false">L55+L56</f>
        <v>0</v>
      </c>
      <c r="M57" s="25" t="n">
        <f aca="false">M55+M56</f>
        <v>0</v>
      </c>
      <c r="N57" s="25" t="n">
        <f aca="false">N55+N56</f>
        <v>0</v>
      </c>
      <c r="O57" s="25" t="n">
        <f aca="false">O55+O56</f>
        <v>0</v>
      </c>
      <c r="P57" s="25" t="n">
        <f aca="false">P55+P56</f>
        <v>0</v>
      </c>
      <c r="Q57" s="25" t="n">
        <f aca="false">Q55+Q56</f>
        <v>0</v>
      </c>
    </row>
    <row r="58" customFormat="false" ht="15" hidden="false" customHeight="false" outlineLevel="0" collapsed="false">
      <c r="A58" s="2" t="s">
        <v>129</v>
      </c>
      <c r="C58" s="23" t="n">
        <f aca="false">SUMPRODUCT((C41:C53&gt;0)*1)</f>
        <v>0</v>
      </c>
      <c r="D58" s="23" t="n">
        <f aca="false">SUMPRODUCT((D41:D53&gt;0)*1)</f>
        <v>0</v>
      </c>
      <c r="E58" s="23" t="n">
        <f aca="false">SUMPRODUCT((E41:E53&gt;0)*1)</f>
        <v>0</v>
      </c>
      <c r="F58" s="23" t="n">
        <f aca="false">SUMPRODUCT((F41:F53&gt;0)*1)</f>
        <v>0</v>
      </c>
      <c r="G58" s="23" t="n">
        <f aca="false">SUMPRODUCT((G41:G53&gt;0)*1)</f>
        <v>0</v>
      </c>
      <c r="H58" s="23" t="n">
        <f aca="false">SUMPRODUCT((H41:H53&gt;0)*1)</f>
        <v>0</v>
      </c>
      <c r="I58" s="23" t="n">
        <f aca="false">SUMPRODUCT((I41:I53&gt;0)*1)</f>
        <v>0</v>
      </c>
      <c r="J58" s="23" t="n">
        <f aca="false">SUMPRODUCT((J41:J53&gt;0)*1)</f>
        <v>0</v>
      </c>
      <c r="K58" s="23" t="n">
        <f aca="false">SUMPRODUCT((K41:K53&gt;0)*1)</f>
        <v>0</v>
      </c>
      <c r="L58" s="23" t="n">
        <f aca="false">SUMPRODUCT((L41:L53&gt;0)*1)</f>
        <v>0</v>
      </c>
      <c r="M58" s="23" t="n">
        <f aca="false">SUMPRODUCT((M41:M53&gt;0)*1)</f>
        <v>0</v>
      </c>
      <c r="N58" s="23" t="n">
        <f aca="false">SUMPRODUCT((N41:N53&gt;0)*1)</f>
        <v>0</v>
      </c>
      <c r="O58" s="23" t="n">
        <f aca="false">SUMPRODUCT((O41:O53&gt;0)*1)</f>
        <v>0</v>
      </c>
      <c r="P58" s="23" t="n">
        <f aca="false">SUMPRODUCT((P41:P53&gt;0)*1)</f>
        <v>0</v>
      </c>
      <c r="Q58" s="23" t="n">
        <f aca="false">SUMPRODUCT((Q41:Q53&gt;0)*1)</f>
        <v>0</v>
      </c>
    </row>
    <row r="60" customFormat="false" ht="15" hidden="false" customHeight="false" outlineLevel="0" collapsed="false">
      <c r="A60" s="3" t="s">
        <v>130</v>
      </c>
      <c r="C60" s="26" t="n">
        <f aca="false">C35+C37+C38+C57</f>
        <v>320375</v>
      </c>
      <c r="D60" s="26" t="n">
        <f aca="false">D35+D37+D38+D57</f>
        <v>325180.625</v>
      </c>
      <c r="E60" s="26" t="n">
        <f aca="false">E35+E37+E38+E57</f>
        <v>330058.334375</v>
      </c>
      <c r="F60" s="26" t="n">
        <f aca="false">F35+F37+F38+F57</f>
        <v>335009.209390625</v>
      </c>
      <c r="G60" s="26" t="n">
        <f aca="false">G35+G37+G38+G57</f>
        <v>340034.347531484</v>
      </c>
      <c r="H60" s="26" t="n">
        <f aca="false">H35+H37+H38+H57</f>
        <v>345134.862744457</v>
      </c>
      <c r="I60" s="26" t="n">
        <f aca="false">I35+I37+I38+I57</f>
        <v>350311.885685623</v>
      </c>
      <c r="J60" s="26" t="n">
        <f aca="false">J35+J37+J38+J57</f>
        <v>355566.563970908</v>
      </c>
      <c r="K60" s="26" t="n">
        <f aca="false">K35+K37+K38+K57</f>
        <v>360900.062430471</v>
      </c>
      <c r="L60" s="26" t="n">
        <f aca="false">L35+L37+L38+L57</f>
        <v>366313.563366928</v>
      </c>
      <c r="M60" s="26" t="n">
        <f aca="false">M35+M37+M38+M57</f>
        <v>371808.266817432</v>
      </c>
      <c r="N60" s="26" t="n">
        <f aca="false">N35+N37+N38+N57</f>
        <v>377385.390819694</v>
      </c>
      <c r="O60" s="26" t="n">
        <f aca="false">O35+O37+O38+O57</f>
        <v>383046.171681989</v>
      </c>
      <c r="P60" s="26" t="n">
        <f aca="false">P35+P37+P38+P57</f>
        <v>388791.864257219</v>
      </c>
      <c r="Q60" s="26" t="n">
        <f aca="false">Q35+Q37+Q38+Q57</f>
        <v>394623.742221077</v>
      </c>
    </row>
    <row r="61" customFormat="false" ht="15" hidden="false" customHeight="false" outlineLevel="0" collapsed="false">
      <c r="A61" s="3" t="s">
        <v>131</v>
      </c>
      <c r="C61" s="25" t="n">
        <f aca="false">C60</f>
        <v>320375</v>
      </c>
      <c r="D61" s="25" t="n">
        <f aca="false">C61+D60</f>
        <v>645555.625</v>
      </c>
      <c r="E61" s="25" t="n">
        <f aca="false">D61+E60</f>
        <v>975613.959375</v>
      </c>
      <c r="F61" s="25" t="n">
        <f aca="false">E61+F60</f>
        <v>1310623.16876563</v>
      </c>
      <c r="G61" s="25" t="n">
        <f aca="false">F61+G60</f>
        <v>1650657.51629711</v>
      </c>
      <c r="H61" s="25" t="n">
        <f aca="false">G61+H60</f>
        <v>1995792.37904157</v>
      </c>
      <c r="I61" s="25" t="n">
        <f aca="false">H61+I60</f>
        <v>2346104.26472719</v>
      </c>
      <c r="J61" s="25" t="n">
        <f aca="false">I61+J60</f>
        <v>2701670.8286981</v>
      </c>
      <c r="K61" s="25" t="n">
        <f aca="false">J61+K60</f>
        <v>3062570.89112857</v>
      </c>
      <c r="L61" s="25" t="n">
        <f aca="false">K61+L60</f>
        <v>3428884.4544955</v>
      </c>
      <c r="M61" s="25" t="n">
        <f aca="false">L61+M60</f>
        <v>3800692.72131293</v>
      </c>
      <c r="N61" s="25" t="n">
        <f aca="false">M61+N60</f>
        <v>4178078.11213262</v>
      </c>
      <c r="O61" s="25" t="n">
        <f aca="false">N61+O60</f>
        <v>4561124.28381461</v>
      </c>
      <c r="P61" s="25" t="n">
        <f aca="false">O61+P60</f>
        <v>4949916.14807183</v>
      </c>
      <c r="Q61" s="25" t="n">
        <f aca="false">P61+Q60</f>
        <v>5344539.89029291</v>
      </c>
    </row>
    <row r="63" customFormat="false" ht="15" hidden="false" customHeight="false" outlineLevel="0" collapsed="false">
      <c r="A63" s="2" t="s">
        <v>132</v>
      </c>
      <c r="B63" s="24" t="n">
        <f aca="false">SUM(W41:W53)</f>
        <v>0</v>
      </c>
    </row>
    <row r="64" customFormat="false" ht="15" hidden="false" customHeight="false" outlineLevel="0" collapsed="false">
      <c r="A64" s="2" t="s">
        <v>133</v>
      </c>
      <c r="B64" s="22" t="n">
        <f aca="false">B63*$Q$34</f>
        <v>0</v>
      </c>
    </row>
    <row r="76" customFormat="false" ht="15" hidden="false" customHeight="false" outlineLevel="0" collapsed="false">
      <c r="A76" s="18" t="s">
        <v>134</v>
      </c>
      <c r="B76" s="19" t="str">
        <f aca="false">Scenarios!D$3</f>
        <v>Medium</v>
      </c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</row>
    <row r="77" customFormat="false" ht="15" hidden="false" customHeight="false" outlineLevel="0" collapsed="false">
      <c r="A77" s="3" t="s">
        <v>101</v>
      </c>
      <c r="C77" s="17" t="n">
        <v>1</v>
      </c>
      <c r="D77" s="17" t="n">
        <v>2</v>
      </c>
      <c r="E77" s="17" t="n">
        <v>3</v>
      </c>
      <c r="F77" s="17" t="n">
        <v>4</v>
      </c>
      <c r="G77" s="17" t="n">
        <v>5</v>
      </c>
      <c r="H77" s="17" t="n">
        <v>6</v>
      </c>
      <c r="I77" s="17" t="n">
        <v>7</v>
      </c>
      <c r="J77" s="17" t="n">
        <v>8</v>
      </c>
      <c r="K77" s="17" t="n">
        <v>9</v>
      </c>
      <c r="L77" s="17" t="n">
        <v>10</v>
      </c>
      <c r="M77" s="17" t="n">
        <v>11</v>
      </c>
      <c r="N77" s="17" t="n">
        <v>12</v>
      </c>
      <c r="O77" s="17" t="n">
        <v>13</v>
      </c>
      <c r="P77" s="17" t="n">
        <v>14</v>
      </c>
      <c r="Q77" s="17" t="n">
        <v>15</v>
      </c>
    </row>
    <row r="78" customFormat="false" ht="15" hidden="false" customHeight="false" outlineLevel="0" collapsed="false">
      <c r="A78" s="3" t="s">
        <v>102</v>
      </c>
      <c r="C78" s="17" t="n">
        <f aca="false">$B$6</f>
        <v>2026</v>
      </c>
      <c r="D78" s="17" t="n">
        <f aca="false">C78+1</f>
        <v>2027</v>
      </c>
      <c r="E78" s="17" t="n">
        <f aca="false">D78+1</f>
        <v>2028</v>
      </c>
      <c r="F78" s="17" t="n">
        <f aca="false">E78+1</f>
        <v>2029</v>
      </c>
      <c r="G78" s="17" t="n">
        <f aca="false">F78+1</f>
        <v>2030</v>
      </c>
      <c r="H78" s="17" t="n">
        <f aca="false">G78+1</f>
        <v>2031</v>
      </c>
      <c r="I78" s="17" t="n">
        <f aca="false">H78+1</f>
        <v>2032</v>
      </c>
      <c r="J78" s="17" t="n">
        <f aca="false">I78+1</f>
        <v>2033</v>
      </c>
      <c r="K78" s="17" t="n">
        <f aca="false">J78+1</f>
        <v>2034</v>
      </c>
      <c r="L78" s="17" t="n">
        <f aca="false">K78+1</f>
        <v>2035</v>
      </c>
      <c r="M78" s="17" t="n">
        <f aca="false">L78+1</f>
        <v>2036</v>
      </c>
      <c r="N78" s="17" t="n">
        <f aca="false">M78+1</f>
        <v>2037</v>
      </c>
      <c r="O78" s="17" t="n">
        <f aca="false">N78+1</f>
        <v>2038</v>
      </c>
      <c r="P78" s="17" t="n">
        <f aca="false">O78+1</f>
        <v>2039</v>
      </c>
      <c r="Q78" s="17" t="n">
        <f aca="false">P78+1</f>
        <v>2040</v>
      </c>
    </row>
    <row r="79" customFormat="false" ht="15" hidden="false" customHeight="false" outlineLevel="0" collapsed="false">
      <c r="A79" s="2" t="s">
        <v>103</v>
      </c>
      <c r="C79" s="21" t="n">
        <f aca="false">$B$17</f>
        <v>1</v>
      </c>
      <c r="D79" s="21" t="n">
        <f aca="false">C79*(1+Scenarios!$D$4)</f>
        <v>1.07</v>
      </c>
      <c r="E79" s="21" t="n">
        <f aca="false">D79*(1+Scenarios!$D$4)</f>
        <v>1.1449</v>
      </c>
      <c r="F79" s="21" t="n">
        <f aca="false">E79*(1+Scenarios!$D$4)</f>
        <v>1.225043</v>
      </c>
      <c r="G79" s="21" t="n">
        <f aca="false">F79*(1+Scenarios!$D$4)</f>
        <v>1.31079601</v>
      </c>
      <c r="H79" s="21" t="n">
        <f aca="false">G79*(1+Scenarios!$D$4)</f>
        <v>1.4025517307</v>
      </c>
      <c r="I79" s="21" t="n">
        <f aca="false">H79*(1+Scenarios!$D$4)</f>
        <v>1.500730351849</v>
      </c>
      <c r="J79" s="21" t="n">
        <f aca="false">I79*(1+Scenarios!$D$4)</f>
        <v>1.60578147647843</v>
      </c>
      <c r="K79" s="21" t="n">
        <f aca="false">J79*(1+Scenarios!$D$4)</f>
        <v>1.71818617983192</v>
      </c>
      <c r="L79" s="21" t="n">
        <f aca="false">K79*(1+Scenarios!$D$4)</f>
        <v>1.83845921242016</v>
      </c>
      <c r="M79" s="21" t="n">
        <f aca="false">L79*(1+Scenarios!$D$4)</f>
        <v>1.96715135728957</v>
      </c>
      <c r="N79" s="21" t="n">
        <f aca="false">M79*(1+Scenarios!$D$4)</f>
        <v>2.10485195229984</v>
      </c>
      <c r="O79" s="21" t="n">
        <f aca="false">N79*(1+Scenarios!$D$4)</f>
        <v>2.25219158896083</v>
      </c>
      <c r="P79" s="21" t="n">
        <f aca="false">O79*(1+Scenarios!$D$4)</f>
        <v>2.40984500018808</v>
      </c>
      <c r="Q79" s="21" t="n">
        <f aca="false">P79*(1+Scenarios!$D$4)</f>
        <v>2.57853415020125</v>
      </c>
    </row>
    <row r="80" customFormat="false" ht="15" hidden="false" customHeight="false" outlineLevel="0" collapsed="false">
      <c r="A80" s="2" t="s">
        <v>104</v>
      </c>
      <c r="C80" s="22" t="n">
        <f aca="false">$B$7</f>
        <v>275000</v>
      </c>
      <c r="D80" s="22" t="n">
        <f aca="false">C80*(1+$B$8*Scenarios!$D$5)</f>
        <v>283250</v>
      </c>
      <c r="E80" s="22" t="n">
        <f aca="false">D80*(1+$B$8*Scenarios!$D$5)</f>
        <v>291747.5</v>
      </c>
      <c r="F80" s="22" t="n">
        <f aca="false">E80*(1+$B$8*Scenarios!$D$5)</f>
        <v>300499.925</v>
      </c>
      <c r="G80" s="22" t="n">
        <f aca="false">F80*(1+$B$8*Scenarios!$D$5)</f>
        <v>309514.92275</v>
      </c>
      <c r="H80" s="22" t="n">
        <f aca="false">G80*(1+$B$8*Scenarios!$D$5)</f>
        <v>318800.3704325</v>
      </c>
      <c r="I80" s="22" t="n">
        <f aca="false">H80*(1+$B$8*Scenarios!$D$5)</f>
        <v>328364.381545475</v>
      </c>
      <c r="J80" s="22" t="n">
        <f aca="false">I80*(1+$B$8*Scenarios!$D$5)</f>
        <v>338215.312991839</v>
      </c>
      <c r="K80" s="22" t="n">
        <f aca="false">J80*(1+$B$8*Scenarios!$D$5)</f>
        <v>348361.772381594</v>
      </c>
      <c r="L80" s="22" t="n">
        <f aca="false">K80*(1+$B$8*Scenarios!$D$5)</f>
        <v>358812.625553042</v>
      </c>
      <c r="M80" s="22" t="n">
        <f aca="false">L80*(1+$B$8*Scenarios!$D$5)</f>
        <v>369577.004319634</v>
      </c>
      <c r="N80" s="22" t="n">
        <f aca="false">M80*(1+$B$8*Scenarios!$D$5)</f>
        <v>380664.314449223</v>
      </c>
      <c r="O80" s="22" t="n">
        <f aca="false">N80*(1+$B$8*Scenarios!$D$5)</f>
        <v>392084.243882699</v>
      </c>
      <c r="P80" s="22" t="n">
        <f aca="false">O80*(1+$B$8*Scenarios!$D$5)</f>
        <v>403846.77119918</v>
      </c>
      <c r="Q80" s="22" t="n">
        <f aca="false">P80*(1+$B$8*Scenarios!$D$5)</f>
        <v>415962.174335156</v>
      </c>
    </row>
    <row r="81" customFormat="false" ht="15" hidden="false" customHeight="false" outlineLevel="0" collapsed="false">
      <c r="A81" s="2" t="s">
        <v>105</v>
      </c>
      <c r="C81" s="22" t="n">
        <f aca="false">IF($B$10="Prior",0,C80)</f>
        <v>275000</v>
      </c>
      <c r="D81" s="22" t="n">
        <f aca="false">IF($B$10="Prior",C80,D80)</f>
        <v>283250</v>
      </c>
      <c r="E81" s="22" t="n">
        <f aca="false">IF($B$10="Prior",D80,E80)</f>
        <v>291747.5</v>
      </c>
      <c r="F81" s="22" t="n">
        <f aca="false">IF($B$10="Prior",E80,F80)</f>
        <v>300499.925</v>
      </c>
      <c r="G81" s="22" t="n">
        <f aca="false">IF($B$10="Prior",F80,G80)</f>
        <v>309514.92275</v>
      </c>
      <c r="H81" s="22" t="n">
        <f aca="false">IF($B$10="Prior",G80,H80)</f>
        <v>318800.3704325</v>
      </c>
      <c r="I81" s="22" t="n">
        <f aca="false">IF($B$10="Prior",H80,I80)</f>
        <v>328364.381545475</v>
      </c>
      <c r="J81" s="22" t="n">
        <f aca="false">IF($B$10="Prior",I80,J80)</f>
        <v>338215.312991839</v>
      </c>
      <c r="K81" s="22" t="n">
        <f aca="false">IF($B$10="Prior",J80,K80)</f>
        <v>348361.772381594</v>
      </c>
      <c r="L81" s="22" t="n">
        <f aca="false">IF($B$10="Prior",K80,L80)</f>
        <v>358812.625553042</v>
      </c>
      <c r="M81" s="22" t="n">
        <f aca="false">IF($B$10="Prior",L80,M80)</f>
        <v>369577.004319634</v>
      </c>
      <c r="N81" s="22" t="n">
        <f aca="false">IF($B$10="Prior",M80,N80)</f>
        <v>380664.314449223</v>
      </c>
      <c r="O81" s="22" t="n">
        <f aca="false">IF($B$10="Prior",N80,O80)</f>
        <v>392084.243882699</v>
      </c>
      <c r="P81" s="22" t="n">
        <f aca="false">IF($B$10="Prior",O80,P80)</f>
        <v>403846.77119918</v>
      </c>
      <c r="Q81" s="22" t="n">
        <f aca="false">IF($B$10="Prior",P80,Q80)</f>
        <v>415962.174335156</v>
      </c>
    </row>
    <row r="82" customFormat="false" ht="15" hidden="false" customHeight="false" outlineLevel="0" collapsed="false">
      <c r="A82" s="2" t="s">
        <v>106</v>
      </c>
      <c r="C82" s="22" t="n">
        <f aca="false">IF($B$11="No",0,C81*$B$9*Scenarios!$D$6)</f>
        <v>60500</v>
      </c>
      <c r="D82" s="22" t="n">
        <f aca="false">D81*$B$9*Scenarios!$D$6</f>
        <v>62315</v>
      </c>
      <c r="E82" s="22" t="n">
        <f aca="false">E81*$B$9*Scenarios!$D$6</f>
        <v>64184.45</v>
      </c>
      <c r="F82" s="22" t="n">
        <f aca="false">F81*$B$9*Scenarios!$D$6</f>
        <v>66109.9835</v>
      </c>
      <c r="G82" s="22" t="n">
        <f aca="false">G81*$B$9*Scenarios!$D$6</f>
        <v>68093.283005</v>
      </c>
      <c r="H82" s="22" t="n">
        <f aca="false">H81*$B$9*Scenarios!$D$6</f>
        <v>70136.08149515</v>
      </c>
      <c r="I82" s="22" t="n">
        <f aca="false">I81*$B$9*Scenarios!$D$6</f>
        <v>72240.1639400045</v>
      </c>
      <c r="J82" s="22" t="n">
        <f aca="false">J81*$B$9*Scenarios!$D$6</f>
        <v>74407.3688582046</v>
      </c>
      <c r="K82" s="22" t="n">
        <f aca="false">K81*$B$9*Scenarios!$D$6</f>
        <v>76639.5899239508</v>
      </c>
      <c r="L82" s="22" t="n">
        <f aca="false">L81*$B$9*Scenarios!$D$6</f>
        <v>78938.7776216693</v>
      </c>
      <c r="M82" s="22" t="n">
        <f aca="false">M81*$B$9*Scenarios!$D$6</f>
        <v>81306.9409503194</v>
      </c>
      <c r="N82" s="22" t="n">
        <f aca="false">N81*$B$9*Scenarios!$D$6</f>
        <v>83746.149178829</v>
      </c>
      <c r="O82" s="22" t="n">
        <f aca="false">O81*$B$9*Scenarios!$D$6</f>
        <v>86258.5336541938</v>
      </c>
      <c r="P82" s="22" t="n">
        <f aca="false">P81*$B$9*Scenarios!$D$6</f>
        <v>88846.2896638197</v>
      </c>
      <c r="Q82" s="22" t="n">
        <f aca="false">Q81*$B$9*Scenarios!$D$6</f>
        <v>91511.6783537342</v>
      </c>
    </row>
    <row r="83" customFormat="false" ht="15" hidden="false" customHeight="false" outlineLevel="0" collapsed="false">
      <c r="A83" s="2" t="s">
        <v>107</v>
      </c>
      <c r="C83" s="22" t="n">
        <f aca="false">$B$12*$B$13</f>
        <v>0</v>
      </c>
      <c r="D83" s="22" t="n">
        <f aca="false">$B$12*$B$14</f>
        <v>0</v>
      </c>
      <c r="E83" s="22" t="n">
        <f aca="false">$B$12*$B$15</f>
        <v>0</v>
      </c>
      <c r="F83" s="22" t="n">
        <v>0</v>
      </c>
      <c r="G83" s="22" t="n">
        <v>0</v>
      </c>
      <c r="H83" s="22" t="n">
        <v>0</v>
      </c>
      <c r="I83" s="22" t="n">
        <v>0</v>
      </c>
      <c r="J83" s="22" t="n">
        <v>0</v>
      </c>
      <c r="K83" s="22" t="n">
        <v>0</v>
      </c>
      <c r="L83" s="22" t="n">
        <v>0</v>
      </c>
      <c r="M83" s="22" t="n">
        <v>0</v>
      </c>
      <c r="N83" s="22" t="n">
        <v>0</v>
      </c>
      <c r="O83" s="22" t="n">
        <v>0</v>
      </c>
      <c r="P83" s="22" t="n">
        <v>0</v>
      </c>
      <c r="Q83" s="22" t="n">
        <v>0</v>
      </c>
    </row>
    <row r="85" customFormat="false" ht="15" hidden="false" customHeight="false" outlineLevel="0" collapsed="false">
      <c r="A85" s="3" t="s">
        <v>108</v>
      </c>
      <c r="S85" s="7" t="s">
        <v>109</v>
      </c>
      <c r="T85" s="7" t="s">
        <v>110</v>
      </c>
      <c r="U85" s="7" t="s">
        <v>111</v>
      </c>
      <c r="V85" s="7" t="s">
        <v>112</v>
      </c>
      <c r="W85" s="7" t="s">
        <v>113</v>
      </c>
    </row>
    <row r="86" customFormat="false" ht="15" hidden="false" customHeight="false" outlineLevel="0" collapsed="false">
      <c r="A86" s="2" t="s">
        <v>97</v>
      </c>
      <c r="C86" s="22" t="n">
        <f aca="false">IF(AND(C$78-$S86+1-$B$22&gt;=1,C$78-$S86+1-$B$22&lt;=8),INDEX($C$26:$J$26,1,C$78-$S86+1-$B$22),0)*$U86*C$79</f>
        <v>0</v>
      </c>
      <c r="D86" s="22" t="n">
        <f aca="false">IF(AND(D$78-$S86+1-$B$22&gt;=1,D$78-$S86+1-$B$22&lt;=8),INDEX($C$26:$J$26,1,D$78-$S86+1-$B$22),0)*$U86*D$79</f>
        <v>0</v>
      </c>
      <c r="E86" s="22" t="n">
        <f aca="false">IF(AND(E$78-$S86+1-$B$22&gt;=1,E$78-$S86+1-$B$22&lt;=8),INDEX($C$26:$J$26,1,E$78-$S86+1-$B$22),0)*$U86*E$79</f>
        <v>0</v>
      </c>
      <c r="F86" s="22" t="n">
        <f aca="false">IF(AND(F$78-$S86+1-$B$22&gt;=1,F$78-$S86+1-$B$22&lt;=8),INDEX($C$26:$J$26,1,F$78-$S86+1-$B$22),0)*$U86*F$79</f>
        <v>0</v>
      </c>
      <c r="G86" s="22" t="n">
        <f aca="false">IF(AND(G$78-$S86+1-$B$22&gt;=1,G$78-$S86+1-$B$22&lt;=8),INDEX($C$26:$J$26,1,G$78-$S86+1-$B$22),0)*$U86*G$79</f>
        <v>0</v>
      </c>
      <c r="H86" s="22" t="n">
        <f aca="false">IF(AND(H$78-$S86+1-$B$22&gt;=1,H$78-$S86+1-$B$22&lt;=8),INDEX($C$26:$J$26,1,H$78-$S86+1-$B$22),0)*$U86*H$79</f>
        <v>0</v>
      </c>
      <c r="I86" s="22" t="n">
        <f aca="false">IF(AND(I$78-$S86+1-$B$22&gt;=1,I$78-$S86+1-$B$22&lt;=8),INDEX($C$26:$J$26,1,I$78-$S86+1-$B$22),0)*$U86*I$79</f>
        <v>0</v>
      </c>
      <c r="J86" s="22" t="n">
        <f aca="false">IF(AND(J$78-$S86+1-$B$22&gt;=1,J$78-$S86+1-$B$22&lt;=8),INDEX($C$26:$J$26,1,J$78-$S86+1-$B$22),0)*$U86*J$79</f>
        <v>0</v>
      </c>
      <c r="K86" s="22" t="n">
        <f aca="false">IF(AND(K$78-$S86+1-$B$22&gt;=1,K$78-$S86+1-$B$22&lt;=8),INDEX($C$26:$J$26,1,K$78-$S86+1-$B$22),0)*$U86*K$79</f>
        <v>0</v>
      </c>
      <c r="L86" s="22" t="n">
        <f aca="false">IF(AND(L$78-$S86+1-$B$22&gt;=1,L$78-$S86+1-$B$22&lt;=8),INDEX($C$26:$J$26,1,L$78-$S86+1-$B$22),0)*$U86*L$79</f>
        <v>0</v>
      </c>
      <c r="M86" s="22" t="n">
        <f aca="false">IF(AND(M$78-$S86+1-$B$22&gt;=1,M$78-$S86+1-$B$22&lt;=8),INDEX($C$26:$J$26,1,M$78-$S86+1-$B$22),0)*$U86*M$79</f>
        <v>0</v>
      </c>
      <c r="N86" s="22" t="n">
        <f aca="false">IF(AND(N$78-$S86+1-$B$22&gt;=1,N$78-$S86+1-$B$22&lt;=8),INDEX($C$26:$J$26,1,N$78-$S86+1-$B$22),0)*$U86*N$79</f>
        <v>0</v>
      </c>
      <c r="O86" s="22" t="n">
        <f aca="false">IF(AND(O$78-$S86+1-$B$22&gt;=1,O$78-$S86+1-$B$22&lt;=8),INDEX($C$26:$J$26,1,O$78-$S86+1-$B$22),0)*$U86*O$79</f>
        <v>0</v>
      </c>
      <c r="P86" s="22" t="n">
        <f aca="false">IF(AND(P$78-$S86+1-$B$22&gt;=1,P$78-$S86+1-$B$22&lt;=8),INDEX($C$26:$J$26,1,P$78-$S86+1-$B$22),0)*$U86*P$79</f>
        <v>0</v>
      </c>
      <c r="Q86" s="22" t="n">
        <f aca="false">IF(AND(Q$78-$S86+1-$B$22&gt;=1,Q$78-$S86+1-$B$22&lt;=8),INDEX($C$26:$J$26,1,Q$78-$S86+1-$B$22),0)*$U86*Q$79</f>
        <v>0</v>
      </c>
      <c r="S86" s="23" t="n">
        <f aca="false">$B$6</f>
        <v>2026</v>
      </c>
      <c r="T86" s="22" t="n">
        <f aca="false">$B$18</f>
        <v>0</v>
      </c>
      <c r="U86" s="24" t="n">
        <f aca="false">IFERROR(T86/$B$17,0)</f>
        <v>0</v>
      </c>
      <c r="V86" s="24" t="n">
        <f aca="false">SUMPRODUCT(($C$25:$J$25&lt;=$Q$78-$S86+1-$B$22)*$C$26:$J$26)*$U86</f>
        <v>0</v>
      </c>
      <c r="W86" s="24" t="n">
        <f aca="false">$U86-$V86</f>
        <v>0</v>
      </c>
    </row>
    <row r="87" customFormat="false" ht="15" hidden="false" customHeight="false" outlineLevel="0" collapsed="false">
      <c r="A87" s="2" t="s">
        <v>114</v>
      </c>
      <c r="C87" s="22" t="n">
        <f aca="false">IF(AND(C$78-$S87+1-$B$22&gt;=1,C$78-$S87+1-$B$22&lt;=8),INDEX($C$27:$J$27,1,C$78-$S87+1-$B$22),0)*$U87*C$79</f>
        <v>0</v>
      </c>
      <c r="D87" s="22" t="n">
        <f aca="false">IF(AND(D$78-$S87+1-$B$22&gt;=1,D$78-$S87+1-$B$22&lt;=8),INDEX($C$27:$J$27,1,D$78-$S87+1-$B$22),0)*$U87*D$79</f>
        <v>0</v>
      </c>
      <c r="E87" s="22" t="n">
        <f aca="false">IF(AND(E$78-$S87+1-$B$22&gt;=1,E$78-$S87+1-$B$22&lt;=8),INDEX($C$27:$J$27,1,E$78-$S87+1-$B$22),0)*$U87*E$79</f>
        <v>0</v>
      </c>
      <c r="F87" s="22" t="n">
        <f aca="false">IF(AND(F$78-$S87+1-$B$22&gt;=1,F$78-$S87+1-$B$22&lt;=8),INDEX($C$27:$J$27,1,F$78-$S87+1-$B$22),0)*$U87*F$79</f>
        <v>0</v>
      </c>
      <c r="G87" s="22" t="n">
        <f aca="false">IF(AND(G$78-$S87+1-$B$22&gt;=1,G$78-$S87+1-$B$22&lt;=8),INDEX($C$27:$J$27,1,G$78-$S87+1-$B$22),0)*$U87*G$79</f>
        <v>0</v>
      </c>
      <c r="H87" s="22" t="n">
        <f aca="false">IF(AND(H$78-$S87+1-$B$22&gt;=1,H$78-$S87+1-$B$22&lt;=8),INDEX($C$27:$J$27,1,H$78-$S87+1-$B$22),0)*$U87*H$79</f>
        <v>0</v>
      </c>
      <c r="I87" s="22" t="n">
        <f aca="false">IF(AND(I$78-$S87+1-$B$22&gt;=1,I$78-$S87+1-$B$22&lt;=8),INDEX($C$27:$J$27,1,I$78-$S87+1-$B$22),0)*$U87*I$79</f>
        <v>0</v>
      </c>
      <c r="J87" s="22" t="n">
        <f aca="false">IF(AND(J$78-$S87+1-$B$22&gt;=1,J$78-$S87+1-$B$22&lt;=8),INDEX($C$27:$J$27,1,J$78-$S87+1-$B$22),0)*$U87*J$79</f>
        <v>0</v>
      </c>
      <c r="K87" s="22" t="n">
        <f aca="false">IF(AND(K$78-$S87+1-$B$22&gt;=1,K$78-$S87+1-$B$22&lt;=8),INDEX($C$27:$J$27,1,K$78-$S87+1-$B$22),0)*$U87*K$79</f>
        <v>0</v>
      </c>
      <c r="L87" s="22" t="n">
        <f aca="false">IF(AND(L$78-$S87+1-$B$22&gt;=1,L$78-$S87+1-$B$22&lt;=8),INDEX($C$27:$J$27,1,L$78-$S87+1-$B$22),0)*$U87*L$79</f>
        <v>0</v>
      </c>
      <c r="M87" s="22" t="n">
        <f aca="false">IF(AND(M$78-$S87+1-$B$22&gt;=1,M$78-$S87+1-$B$22&lt;=8),INDEX($C$27:$J$27,1,M$78-$S87+1-$B$22),0)*$U87*M$79</f>
        <v>0</v>
      </c>
      <c r="N87" s="22" t="n">
        <f aca="false">IF(AND(N$78-$S87+1-$B$22&gt;=1,N$78-$S87+1-$B$22&lt;=8),INDEX($C$27:$J$27,1,N$78-$S87+1-$B$22),0)*$U87*N$79</f>
        <v>0</v>
      </c>
      <c r="O87" s="22" t="n">
        <f aca="false">IF(AND(O$78-$S87+1-$B$22&gt;=1,O$78-$S87+1-$B$22&lt;=8),INDEX($C$27:$J$27,1,O$78-$S87+1-$B$22),0)*$U87*O$79</f>
        <v>0</v>
      </c>
      <c r="P87" s="22" t="n">
        <f aca="false">IF(AND(P$78-$S87+1-$B$22&gt;=1,P$78-$S87+1-$B$22&lt;=8),INDEX($C$27:$J$27,1,P$78-$S87+1-$B$22),0)*$U87*P$79</f>
        <v>0</v>
      </c>
      <c r="Q87" s="22" t="n">
        <f aca="false">IF(AND(Q$78-$S87+1-$B$22&gt;=1,Q$78-$S87+1-$B$22&lt;=8),INDEX($C$27:$J$27,1,Q$78-$S87+1-$B$22),0)*$U87*Q$79</f>
        <v>0</v>
      </c>
      <c r="S87" s="23" t="n">
        <f aca="false">$B$20+0</f>
        <v>2027</v>
      </c>
      <c r="T87" s="22" t="n">
        <f aca="false">IF($S87&gt;$B$20+Scenarios!$D$8-1,0,$B$19*(1+$B$21*Scenarios!$D$7)^0)</f>
        <v>0</v>
      </c>
      <c r="U87" s="24" t="n">
        <f aca="false">IFERROR($T87/INDEX($C$79:$Q$79,1,MATCH($S87,$C$78:$Q$78,0)),0)</f>
        <v>0</v>
      </c>
      <c r="V87" s="24" t="n">
        <f aca="false">SUMPRODUCT(($C$25:$J$25&lt;=$Q$78-$S87+1-$B$22)*$C$27:$J$27)*$U87</f>
        <v>0</v>
      </c>
      <c r="W87" s="24" t="n">
        <f aca="false">$U87-$V87</f>
        <v>0</v>
      </c>
    </row>
    <row r="88" customFormat="false" ht="15" hidden="false" customHeight="false" outlineLevel="0" collapsed="false">
      <c r="A88" s="2" t="s">
        <v>115</v>
      </c>
      <c r="C88" s="22" t="n">
        <f aca="false">IF(AND(C$78-$S88+1-$B$22&gt;=1,C$78-$S88+1-$B$22&lt;=8),INDEX($C$27:$J$27,1,C$78-$S88+1-$B$22),0)*$U88*C$79</f>
        <v>0</v>
      </c>
      <c r="D88" s="22" t="n">
        <f aca="false">IF(AND(D$78-$S88+1-$B$22&gt;=1,D$78-$S88+1-$B$22&lt;=8),INDEX($C$27:$J$27,1,D$78-$S88+1-$B$22),0)*$U88*D$79</f>
        <v>0</v>
      </c>
      <c r="E88" s="22" t="n">
        <f aca="false">IF(AND(E$78-$S88+1-$B$22&gt;=1,E$78-$S88+1-$B$22&lt;=8),INDEX($C$27:$J$27,1,E$78-$S88+1-$B$22),0)*$U88*E$79</f>
        <v>0</v>
      </c>
      <c r="F88" s="22" t="n">
        <f aca="false">IF(AND(F$78-$S88+1-$B$22&gt;=1,F$78-$S88+1-$B$22&lt;=8),INDEX($C$27:$J$27,1,F$78-$S88+1-$B$22),0)*$U88*F$79</f>
        <v>0</v>
      </c>
      <c r="G88" s="22" t="n">
        <f aca="false">IF(AND(G$78-$S88+1-$B$22&gt;=1,G$78-$S88+1-$B$22&lt;=8),INDEX($C$27:$J$27,1,G$78-$S88+1-$B$22),0)*$U88*G$79</f>
        <v>0</v>
      </c>
      <c r="H88" s="22" t="n">
        <f aca="false">IF(AND(H$78-$S88+1-$B$22&gt;=1,H$78-$S88+1-$B$22&lt;=8),INDEX($C$27:$J$27,1,H$78-$S88+1-$B$22),0)*$U88*H$79</f>
        <v>0</v>
      </c>
      <c r="I88" s="22" t="n">
        <f aca="false">IF(AND(I$78-$S88+1-$B$22&gt;=1,I$78-$S88+1-$B$22&lt;=8),INDEX($C$27:$J$27,1,I$78-$S88+1-$B$22),0)*$U88*I$79</f>
        <v>0</v>
      </c>
      <c r="J88" s="22" t="n">
        <f aca="false">IF(AND(J$78-$S88+1-$B$22&gt;=1,J$78-$S88+1-$B$22&lt;=8),INDEX($C$27:$J$27,1,J$78-$S88+1-$B$22),0)*$U88*J$79</f>
        <v>0</v>
      </c>
      <c r="K88" s="22" t="n">
        <f aca="false">IF(AND(K$78-$S88+1-$B$22&gt;=1,K$78-$S88+1-$B$22&lt;=8),INDEX($C$27:$J$27,1,K$78-$S88+1-$B$22),0)*$U88*K$79</f>
        <v>0</v>
      </c>
      <c r="L88" s="22" t="n">
        <f aca="false">IF(AND(L$78-$S88+1-$B$22&gt;=1,L$78-$S88+1-$B$22&lt;=8),INDEX($C$27:$J$27,1,L$78-$S88+1-$B$22),0)*$U88*L$79</f>
        <v>0</v>
      </c>
      <c r="M88" s="22" t="n">
        <f aca="false">IF(AND(M$78-$S88+1-$B$22&gt;=1,M$78-$S88+1-$B$22&lt;=8),INDEX($C$27:$J$27,1,M$78-$S88+1-$B$22),0)*$U88*M$79</f>
        <v>0</v>
      </c>
      <c r="N88" s="22" t="n">
        <f aca="false">IF(AND(N$78-$S88+1-$B$22&gt;=1,N$78-$S88+1-$B$22&lt;=8),INDEX($C$27:$J$27,1,N$78-$S88+1-$B$22),0)*$U88*N$79</f>
        <v>0</v>
      </c>
      <c r="O88" s="22" t="n">
        <f aca="false">IF(AND(O$78-$S88+1-$B$22&gt;=1,O$78-$S88+1-$B$22&lt;=8),INDEX($C$27:$J$27,1,O$78-$S88+1-$B$22),0)*$U88*O$79</f>
        <v>0</v>
      </c>
      <c r="P88" s="22" t="n">
        <f aca="false">IF(AND(P$78-$S88+1-$B$22&gt;=1,P$78-$S88+1-$B$22&lt;=8),INDEX($C$27:$J$27,1,P$78-$S88+1-$B$22),0)*$U88*P$79</f>
        <v>0</v>
      </c>
      <c r="Q88" s="22" t="n">
        <f aca="false">IF(AND(Q$78-$S88+1-$B$22&gt;=1,Q$78-$S88+1-$B$22&lt;=8),INDEX($C$27:$J$27,1,Q$78-$S88+1-$B$22),0)*$U88*Q$79</f>
        <v>0</v>
      </c>
      <c r="S88" s="23" t="n">
        <f aca="false">$B$20+1</f>
        <v>2028</v>
      </c>
      <c r="T88" s="22" t="n">
        <f aca="false">IF($S88&gt;$B$20+Scenarios!$D$8-1,0,$B$19*(1+$B$21*Scenarios!$D$7)^1)</f>
        <v>0</v>
      </c>
      <c r="U88" s="24" t="n">
        <f aca="false">IFERROR($T88/INDEX($C$79:$Q$79,1,MATCH($S88,$C$78:$Q$78,0)),0)</f>
        <v>0</v>
      </c>
      <c r="V88" s="24" t="n">
        <f aca="false">SUMPRODUCT(($C$25:$J$25&lt;=$Q$78-$S88+1-$B$22)*$C$27:$J$27)*$U88</f>
        <v>0</v>
      </c>
      <c r="W88" s="24" t="n">
        <f aca="false">$U88-$V88</f>
        <v>0</v>
      </c>
    </row>
    <row r="89" customFormat="false" ht="15" hidden="false" customHeight="false" outlineLevel="0" collapsed="false">
      <c r="A89" s="2" t="s">
        <v>116</v>
      </c>
      <c r="C89" s="22" t="n">
        <f aca="false">IF(AND(C$78-$S89+1-$B$22&gt;=1,C$78-$S89+1-$B$22&lt;=8),INDEX($C$27:$J$27,1,C$78-$S89+1-$B$22),0)*$U89*C$79</f>
        <v>0</v>
      </c>
      <c r="D89" s="22" t="n">
        <f aca="false">IF(AND(D$78-$S89+1-$B$22&gt;=1,D$78-$S89+1-$B$22&lt;=8),INDEX($C$27:$J$27,1,D$78-$S89+1-$B$22),0)*$U89*D$79</f>
        <v>0</v>
      </c>
      <c r="E89" s="22" t="n">
        <f aca="false">IF(AND(E$78-$S89+1-$B$22&gt;=1,E$78-$S89+1-$B$22&lt;=8),INDEX($C$27:$J$27,1,E$78-$S89+1-$B$22),0)*$U89*E$79</f>
        <v>0</v>
      </c>
      <c r="F89" s="22" t="n">
        <f aca="false">IF(AND(F$78-$S89+1-$B$22&gt;=1,F$78-$S89+1-$B$22&lt;=8),INDEX($C$27:$J$27,1,F$78-$S89+1-$B$22),0)*$U89*F$79</f>
        <v>0</v>
      </c>
      <c r="G89" s="22" t="n">
        <f aca="false">IF(AND(G$78-$S89+1-$B$22&gt;=1,G$78-$S89+1-$B$22&lt;=8),INDEX($C$27:$J$27,1,G$78-$S89+1-$B$22),0)*$U89*G$79</f>
        <v>0</v>
      </c>
      <c r="H89" s="22" t="n">
        <f aca="false">IF(AND(H$78-$S89+1-$B$22&gt;=1,H$78-$S89+1-$B$22&lt;=8),INDEX($C$27:$J$27,1,H$78-$S89+1-$B$22),0)*$U89*H$79</f>
        <v>0</v>
      </c>
      <c r="I89" s="22" t="n">
        <f aca="false">IF(AND(I$78-$S89+1-$B$22&gt;=1,I$78-$S89+1-$B$22&lt;=8),INDEX($C$27:$J$27,1,I$78-$S89+1-$B$22),0)*$U89*I$79</f>
        <v>0</v>
      </c>
      <c r="J89" s="22" t="n">
        <f aca="false">IF(AND(J$78-$S89+1-$B$22&gt;=1,J$78-$S89+1-$B$22&lt;=8),INDEX($C$27:$J$27,1,J$78-$S89+1-$B$22),0)*$U89*J$79</f>
        <v>0</v>
      </c>
      <c r="K89" s="22" t="n">
        <f aca="false">IF(AND(K$78-$S89+1-$B$22&gt;=1,K$78-$S89+1-$B$22&lt;=8),INDEX($C$27:$J$27,1,K$78-$S89+1-$B$22),0)*$U89*K$79</f>
        <v>0</v>
      </c>
      <c r="L89" s="22" t="n">
        <f aca="false">IF(AND(L$78-$S89+1-$B$22&gt;=1,L$78-$S89+1-$B$22&lt;=8),INDEX($C$27:$J$27,1,L$78-$S89+1-$B$22),0)*$U89*L$79</f>
        <v>0</v>
      </c>
      <c r="M89" s="22" t="n">
        <f aca="false">IF(AND(M$78-$S89+1-$B$22&gt;=1,M$78-$S89+1-$B$22&lt;=8),INDEX($C$27:$J$27,1,M$78-$S89+1-$B$22),0)*$U89*M$79</f>
        <v>0</v>
      </c>
      <c r="N89" s="22" t="n">
        <f aca="false">IF(AND(N$78-$S89+1-$B$22&gt;=1,N$78-$S89+1-$B$22&lt;=8),INDEX($C$27:$J$27,1,N$78-$S89+1-$B$22),0)*$U89*N$79</f>
        <v>0</v>
      </c>
      <c r="O89" s="22" t="n">
        <f aca="false">IF(AND(O$78-$S89+1-$B$22&gt;=1,O$78-$S89+1-$B$22&lt;=8),INDEX($C$27:$J$27,1,O$78-$S89+1-$B$22),0)*$U89*O$79</f>
        <v>0</v>
      </c>
      <c r="P89" s="22" t="n">
        <f aca="false">IF(AND(P$78-$S89+1-$B$22&gt;=1,P$78-$S89+1-$B$22&lt;=8),INDEX($C$27:$J$27,1,P$78-$S89+1-$B$22),0)*$U89*P$79</f>
        <v>0</v>
      </c>
      <c r="Q89" s="22" t="n">
        <f aca="false">IF(AND(Q$78-$S89+1-$B$22&gt;=1,Q$78-$S89+1-$B$22&lt;=8),INDEX($C$27:$J$27,1,Q$78-$S89+1-$B$22),0)*$U89*Q$79</f>
        <v>0</v>
      </c>
      <c r="S89" s="23" t="n">
        <f aca="false">$B$20+2</f>
        <v>2029</v>
      </c>
      <c r="T89" s="22" t="n">
        <f aca="false">IF($S89&gt;$B$20+Scenarios!$D$8-1,0,$B$19*(1+$B$21*Scenarios!$D$7)^2)</f>
        <v>0</v>
      </c>
      <c r="U89" s="24" t="n">
        <f aca="false">IFERROR($T89/INDEX($C$79:$Q$79,1,MATCH($S89,$C$78:$Q$78,0)),0)</f>
        <v>0</v>
      </c>
      <c r="V89" s="24" t="n">
        <f aca="false">SUMPRODUCT(($C$25:$J$25&lt;=$Q$78-$S89+1-$B$22)*$C$27:$J$27)*$U89</f>
        <v>0</v>
      </c>
      <c r="W89" s="24" t="n">
        <f aca="false">$U89-$V89</f>
        <v>0</v>
      </c>
    </row>
    <row r="90" customFormat="false" ht="15" hidden="false" customHeight="false" outlineLevel="0" collapsed="false">
      <c r="A90" s="2" t="s">
        <v>117</v>
      </c>
      <c r="C90" s="22" t="n">
        <f aca="false">IF(AND(C$78-$S90+1-$B$22&gt;=1,C$78-$S90+1-$B$22&lt;=8),INDEX($C$27:$J$27,1,C$78-$S90+1-$B$22),0)*$U90*C$79</f>
        <v>0</v>
      </c>
      <c r="D90" s="22" t="n">
        <f aca="false">IF(AND(D$78-$S90+1-$B$22&gt;=1,D$78-$S90+1-$B$22&lt;=8),INDEX($C$27:$J$27,1,D$78-$S90+1-$B$22),0)*$U90*D$79</f>
        <v>0</v>
      </c>
      <c r="E90" s="22" t="n">
        <f aca="false">IF(AND(E$78-$S90+1-$B$22&gt;=1,E$78-$S90+1-$B$22&lt;=8),INDEX($C$27:$J$27,1,E$78-$S90+1-$B$22),0)*$U90*E$79</f>
        <v>0</v>
      </c>
      <c r="F90" s="22" t="n">
        <f aca="false">IF(AND(F$78-$S90+1-$B$22&gt;=1,F$78-$S90+1-$B$22&lt;=8),INDEX($C$27:$J$27,1,F$78-$S90+1-$B$22),0)*$U90*F$79</f>
        <v>0</v>
      </c>
      <c r="G90" s="22" t="n">
        <f aca="false">IF(AND(G$78-$S90+1-$B$22&gt;=1,G$78-$S90+1-$B$22&lt;=8),INDEX($C$27:$J$27,1,G$78-$S90+1-$B$22),0)*$U90*G$79</f>
        <v>0</v>
      </c>
      <c r="H90" s="22" t="n">
        <f aca="false">IF(AND(H$78-$S90+1-$B$22&gt;=1,H$78-$S90+1-$B$22&lt;=8),INDEX($C$27:$J$27,1,H$78-$S90+1-$B$22),0)*$U90*H$79</f>
        <v>0</v>
      </c>
      <c r="I90" s="22" t="n">
        <f aca="false">IF(AND(I$78-$S90+1-$B$22&gt;=1,I$78-$S90+1-$B$22&lt;=8),INDEX($C$27:$J$27,1,I$78-$S90+1-$B$22),0)*$U90*I$79</f>
        <v>0</v>
      </c>
      <c r="J90" s="22" t="n">
        <f aca="false">IF(AND(J$78-$S90+1-$B$22&gt;=1,J$78-$S90+1-$B$22&lt;=8),INDEX($C$27:$J$27,1,J$78-$S90+1-$B$22),0)*$U90*J$79</f>
        <v>0</v>
      </c>
      <c r="K90" s="22" t="n">
        <f aca="false">IF(AND(K$78-$S90+1-$B$22&gt;=1,K$78-$S90+1-$B$22&lt;=8),INDEX($C$27:$J$27,1,K$78-$S90+1-$B$22),0)*$U90*K$79</f>
        <v>0</v>
      </c>
      <c r="L90" s="22" t="n">
        <f aca="false">IF(AND(L$78-$S90+1-$B$22&gt;=1,L$78-$S90+1-$B$22&lt;=8),INDEX($C$27:$J$27,1,L$78-$S90+1-$B$22),0)*$U90*L$79</f>
        <v>0</v>
      </c>
      <c r="M90" s="22" t="n">
        <f aca="false">IF(AND(M$78-$S90+1-$B$22&gt;=1,M$78-$S90+1-$B$22&lt;=8),INDEX($C$27:$J$27,1,M$78-$S90+1-$B$22),0)*$U90*M$79</f>
        <v>0</v>
      </c>
      <c r="N90" s="22" t="n">
        <f aca="false">IF(AND(N$78-$S90+1-$B$22&gt;=1,N$78-$S90+1-$B$22&lt;=8),INDEX($C$27:$J$27,1,N$78-$S90+1-$B$22),0)*$U90*N$79</f>
        <v>0</v>
      </c>
      <c r="O90" s="22" t="n">
        <f aca="false">IF(AND(O$78-$S90+1-$B$22&gt;=1,O$78-$S90+1-$B$22&lt;=8),INDEX($C$27:$J$27,1,O$78-$S90+1-$B$22),0)*$U90*O$79</f>
        <v>0</v>
      </c>
      <c r="P90" s="22" t="n">
        <f aca="false">IF(AND(P$78-$S90+1-$B$22&gt;=1,P$78-$S90+1-$B$22&lt;=8),INDEX($C$27:$J$27,1,P$78-$S90+1-$B$22),0)*$U90*P$79</f>
        <v>0</v>
      </c>
      <c r="Q90" s="22" t="n">
        <f aca="false">IF(AND(Q$78-$S90+1-$B$22&gt;=1,Q$78-$S90+1-$B$22&lt;=8),INDEX($C$27:$J$27,1,Q$78-$S90+1-$B$22),0)*$U90*Q$79</f>
        <v>0</v>
      </c>
      <c r="S90" s="23" t="n">
        <f aca="false">$B$20+3</f>
        <v>2030</v>
      </c>
      <c r="T90" s="22" t="n">
        <f aca="false">IF($S90&gt;$B$20+Scenarios!$D$8-1,0,$B$19*(1+$B$21*Scenarios!$D$7)^3)</f>
        <v>0</v>
      </c>
      <c r="U90" s="24" t="n">
        <f aca="false">IFERROR($T90/INDEX($C$79:$Q$79,1,MATCH($S90,$C$78:$Q$78,0)),0)</f>
        <v>0</v>
      </c>
      <c r="V90" s="24" t="n">
        <f aca="false">SUMPRODUCT(($C$25:$J$25&lt;=$Q$78-$S90+1-$B$22)*$C$27:$J$27)*$U90</f>
        <v>0</v>
      </c>
      <c r="W90" s="24" t="n">
        <f aca="false">$U90-$V90</f>
        <v>0</v>
      </c>
    </row>
    <row r="91" customFormat="false" ht="15" hidden="false" customHeight="false" outlineLevel="0" collapsed="false">
      <c r="A91" s="2" t="s">
        <v>118</v>
      </c>
      <c r="C91" s="22" t="n">
        <f aca="false">IF(AND(C$78-$S91+1-$B$22&gt;=1,C$78-$S91+1-$B$22&lt;=8),INDEX($C$27:$J$27,1,C$78-$S91+1-$B$22),0)*$U91*C$79</f>
        <v>0</v>
      </c>
      <c r="D91" s="22" t="n">
        <f aca="false">IF(AND(D$78-$S91+1-$B$22&gt;=1,D$78-$S91+1-$B$22&lt;=8),INDEX($C$27:$J$27,1,D$78-$S91+1-$B$22),0)*$U91*D$79</f>
        <v>0</v>
      </c>
      <c r="E91" s="22" t="n">
        <f aca="false">IF(AND(E$78-$S91+1-$B$22&gt;=1,E$78-$S91+1-$B$22&lt;=8),INDEX($C$27:$J$27,1,E$78-$S91+1-$B$22),0)*$U91*E$79</f>
        <v>0</v>
      </c>
      <c r="F91" s="22" t="n">
        <f aca="false">IF(AND(F$78-$S91+1-$B$22&gt;=1,F$78-$S91+1-$B$22&lt;=8),INDEX($C$27:$J$27,1,F$78-$S91+1-$B$22),0)*$U91*F$79</f>
        <v>0</v>
      </c>
      <c r="G91" s="22" t="n">
        <f aca="false">IF(AND(G$78-$S91+1-$B$22&gt;=1,G$78-$S91+1-$B$22&lt;=8),INDEX($C$27:$J$27,1,G$78-$S91+1-$B$22),0)*$U91*G$79</f>
        <v>0</v>
      </c>
      <c r="H91" s="22" t="n">
        <f aca="false">IF(AND(H$78-$S91+1-$B$22&gt;=1,H$78-$S91+1-$B$22&lt;=8),INDEX($C$27:$J$27,1,H$78-$S91+1-$B$22),0)*$U91*H$79</f>
        <v>0</v>
      </c>
      <c r="I91" s="22" t="n">
        <f aca="false">IF(AND(I$78-$S91+1-$B$22&gt;=1,I$78-$S91+1-$B$22&lt;=8),INDEX($C$27:$J$27,1,I$78-$S91+1-$B$22),0)*$U91*I$79</f>
        <v>0</v>
      </c>
      <c r="J91" s="22" t="n">
        <f aca="false">IF(AND(J$78-$S91+1-$B$22&gt;=1,J$78-$S91+1-$B$22&lt;=8),INDEX($C$27:$J$27,1,J$78-$S91+1-$B$22),0)*$U91*J$79</f>
        <v>0</v>
      </c>
      <c r="K91" s="22" t="n">
        <f aca="false">IF(AND(K$78-$S91+1-$B$22&gt;=1,K$78-$S91+1-$B$22&lt;=8),INDEX($C$27:$J$27,1,K$78-$S91+1-$B$22),0)*$U91*K$79</f>
        <v>0</v>
      </c>
      <c r="L91" s="22" t="n">
        <f aca="false">IF(AND(L$78-$S91+1-$B$22&gt;=1,L$78-$S91+1-$B$22&lt;=8),INDEX($C$27:$J$27,1,L$78-$S91+1-$B$22),0)*$U91*L$79</f>
        <v>0</v>
      </c>
      <c r="M91" s="22" t="n">
        <f aca="false">IF(AND(M$78-$S91+1-$B$22&gt;=1,M$78-$S91+1-$B$22&lt;=8),INDEX($C$27:$J$27,1,M$78-$S91+1-$B$22),0)*$U91*M$79</f>
        <v>0</v>
      </c>
      <c r="N91" s="22" t="n">
        <f aca="false">IF(AND(N$78-$S91+1-$B$22&gt;=1,N$78-$S91+1-$B$22&lt;=8),INDEX($C$27:$J$27,1,N$78-$S91+1-$B$22),0)*$U91*N$79</f>
        <v>0</v>
      </c>
      <c r="O91" s="22" t="n">
        <f aca="false">IF(AND(O$78-$S91+1-$B$22&gt;=1,O$78-$S91+1-$B$22&lt;=8),INDEX($C$27:$J$27,1,O$78-$S91+1-$B$22),0)*$U91*O$79</f>
        <v>0</v>
      </c>
      <c r="P91" s="22" t="n">
        <f aca="false">IF(AND(P$78-$S91+1-$B$22&gt;=1,P$78-$S91+1-$B$22&lt;=8),INDEX($C$27:$J$27,1,P$78-$S91+1-$B$22),0)*$U91*P$79</f>
        <v>0</v>
      </c>
      <c r="Q91" s="22" t="n">
        <f aca="false">IF(AND(Q$78-$S91+1-$B$22&gt;=1,Q$78-$S91+1-$B$22&lt;=8),INDEX($C$27:$J$27,1,Q$78-$S91+1-$B$22),0)*$U91*Q$79</f>
        <v>0</v>
      </c>
      <c r="S91" s="23" t="n">
        <f aca="false">$B$20+4</f>
        <v>2031</v>
      </c>
      <c r="T91" s="22" t="n">
        <f aca="false">IF($S91&gt;$B$20+Scenarios!$D$8-1,0,$B$19*(1+$B$21*Scenarios!$D$7)^4)</f>
        <v>0</v>
      </c>
      <c r="U91" s="24" t="n">
        <f aca="false">IFERROR($T91/INDEX($C$79:$Q$79,1,MATCH($S91,$C$78:$Q$78,0)),0)</f>
        <v>0</v>
      </c>
      <c r="V91" s="24" t="n">
        <f aca="false">SUMPRODUCT(($C$25:$J$25&lt;=$Q$78-$S91+1-$B$22)*$C$27:$J$27)*$U91</f>
        <v>0</v>
      </c>
      <c r="W91" s="24" t="n">
        <f aca="false">$U91-$V91</f>
        <v>0</v>
      </c>
    </row>
    <row r="92" customFormat="false" ht="15" hidden="false" customHeight="false" outlineLevel="0" collapsed="false">
      <c r="A92" s="2" t="s">
        <v>119</v>
      </c>
      <c r="C92" s="22" t="n">
        <f aca="false">IF(AND(C$78-$S92+1-$B$22&gt;=1,C$78-$S92+1-$B$22&lt;=8),INDEX($C$27:$J$27,1,C$78-$S92+1-$B$22),0)*$U92*C$79</f>
        <v>0</v>
      </c>
      <c r="D92" s="22" t="n">
        <f aca="false">IF(AND(D$78-$S92+1-$B$22&gt;=1,D$78-$S92+1-$B$22&lt;=8),INDEX($C$27:$J$27,1,D$78-$S92+1-$B$22),0)*$U92*D$79</f>
        <v>0</v>
      </c>
      <c r="E92" s="22" t="n">
        <f aca="false">IF(AND(E$78-$S92+1-$B$22&gt;=1,E$78-$S92+1-$B$22&lt;=8),INDEX($C$27:$J$27,1,E$78-$S92+1-$B$22),0)*$U92*E$79</f>
        <v>0</v>
      </c>
      <c r="F92" s="22" t="n">
        <f aca="false">IF(AND(F$78-$S92+1-$B$22&gt;=1,F$78-$S92+1-$B$22&lt;=8),INDEX($C$27:$J$27,1,F$78-$S92+1-$B$22),0)*$U92*F$79</f>
        <v>0</v>
      </c>
      <c r="G92" s="22" t="n">
        <f aca="false">IF(AND(G$78-$S92+1-$B$22&gt;=1,G$78-$S92+1-$B$22&lt;=8),INDEX($C$27:$J$27,1,G$78-$S92+1-$B$22),0)*$U92*G$79</f>
        <v>0</v>
      </c>
      <c r="H92" s="22" t="n">
        <f aca="false">IF(AND(H$78-$S92+1-$B$22&gt;=1,H$78-$S92+1-$B$22&lt;=8),INDEX($C$27:$J$27,1,H$78-$S92+1-$B$22),0)*$U92*H$79</f>
        <v>0</v>
      </c>
      <c r="I92" s="22" t="n">
        <f aca="false">IF(AND(I$78-$S92+1-$B$22&gt;=1,I$78-$S92+1-$B$22&lt;=8),INDEX($C$27:$J$27,1,I$78-$S92+1-$B$22),0)*$U92*I$79</f>
        <v>0</v>
      </c>
      <c r="J92" s="22" t="n">
        <f aca="false">IF(AND(J$78-$S92+1-$B$22&gt;=1,J$78-$S92+1-$B$22&lt;=8),INDEX($C$27:$J$27,1,J$78-$S92+1-$B$22),0)*$U92*J$79</f>
        <v>0</v>
      </c>
      <c r="K92" s="22" t="n">
        <f aca="false">IF(AND(K$78-$S92+1-$B$22&gt;=1,K$78-$S92+1-$B$22&lt;=8),INDEX($C$27:$J$27,1,K$78-$S92+1-$B$22),0)*$U92*K$79</f>
        <v>0</v>
      </c>
      <c r="L92" s="22" t="n">
        <f aca="false">IF(AND(L$78-$S92+1-$B$22&gt;=1,L$78-$S92+1-$B$22&lt;=8),INDEX($C$27:$J$27,1,L$78-$S92+1-$B$22),0)*$U92*L$79</f>
        <v>0</v>
      </c>
      <c r="M92" s="22" t="n">
        <f aca="false">IF(AND(M$78-$S92+1-$B$22&gt;=1,M$78-$S92+1-$B$22&lt;=8),INDEX($C$27:$J$27,1,M$78-$S92+1-$B$22),0)*$U92*M$79</f>
        <v>0</v>
      </c>
      <c r="N92" s="22" t="n">
        <f aca="false">IF(AND(N$78-$S92+1-$B$22&gt;=1,N$78-$S92+1-$B$22&lt;=8),INDEX($C$27:$J$27,1,N$78-$S92+1-$B$22),0)*$U92*N$79</f>
        <v>0</v>
      </c>
      <c r="O92" s="22" t="n">
        <f aca="false">IF(AND(O$78-$S92+1-$B$22&gt;=1,O$78-$S92+1-$B$22&lt;=8),INDEX($C$27:$J$27,1,O$78-$S92+1-$B$22),0)*$U92*O$79</f>
        <v>0</v>
      </c>
      <c r="P92" s="22" t="n">
        <f aca="false">IF(AND(P$78-$S92+1-$B$22&gt;=1,P$78-$S92+1-$B$22&lt;=8),INDEX($C$27:$J$27,1,P$78-$S92+1-$B$22),0)*$U92*P$79</f>
        <v>0</v>
      </c>
      <c r="Q92" s="22" t="n">
        <f aca="false">IF(AND(Q$78-$S92+1-$B$22&gt;=1,Q$78-$S92+1-$B$22&lt;=8),INDEX($C$27:$J$27,1,Q$78-$S92+1-$B$22),0)*$U92*Q$79</f>
        <v>0</v>
      </c>
      <c r="S92" s="23" t="n">
        <f aca="false">$B$20+5</f>
        <v>2032</v>
      </c>
      <c r="T92" s="22" t="n">
        <f aca="false">IF($S92&gt;$B$20+Scenarios!$D$8-1,0,$B$19*(1+$B$21*Scenarios!$D$7)^5)</f>
        <v>0</v>
      </c>
      <c r="U92" s="24" t="n">
        <f aca="false">IFERROR($T92/INDEX($C$79:$Q$79,1,MATCH($S92,$C$78:$Q$78,0)),0)</f>
        <v>0</v>
      </c>
      <c r="V92" s="24" t="n">
        <f aca="false">SUMPRODUCT(($C$25:$J$25&lt;=$Q$78-$S92+1-$B$22)*$C$27:$J$27)*$U92</f>
        <v>0</v>
      </c>
      <c r="W92" s="24" t="n">
        <f aca="false">$U92-$V92</f>
        <v>0</v>
      </c>
    </row>
    <row r="93" customFormat="false" ht="15" hidden="false" customHeight="false" outlineLevel="0" collapsed="false">
      <c r="A93" s="2" t="s">
        <v>120</v>
      </c>
      <c r="C93" s="22" t="n">
        <f aca="false">IF(AND(C$78-$S93+1-$B$22&gt;=1,C$78-$S93+1-$B$22&lt;=8),INDEX($C$27:$J$27,1,C$78-$S93+1-$B$22),0)*$U93*C$79</f>
        <v>0</v>
      </c>
      <c r="D93" s="22" t="n">
        <f aca="false">IF(AND(D$78-$S93+1-$B$22&gt;=1,D$78-$S93+1-$B$22&lt;=8),INDEX($C$27:$J$27,1,D$78-$S93+1-$B$22),0)*$U93*D$79</f>
        <v>0</v>
      </c>
      <c r="E93" s="22" t="n">
        <f aca="false">IF(AND(E$78-$S93+1-$B$22&gt;=1,E$78-$S93+1-$B$22&lt;=8),INDEX($C$27:$J$27,1,E$78-$S93+1-$B$22),0)*$U93*E$79</f>
        <v>0</v>
      </c>
      <c r="F93" s="22" t="n">
        <f aca="false">IF(AND(F$78-$S93+1-$B$22&gt;=1,F$78-$S93+1-$B$22&lt;=8),INDEX($C$27:$J$27,1,F$78-$S93+1-$B$22),0)*$U93*F$79</f>
        <v>0</v>
      </c>
      <c r="G93" s="22" t="n">
        <f aca="false">IF(AND(G$78-$S93+1-$B$22&gt;=1,G$78-$S93+1-$B$22&lt;=8),INDEX($C$27:$J$27,1,G$78-$S93+1-$B$22),0)*$U93*G$79</f>
        <v>0</v>
      </c>
      <c r="H93" s="22" t="n">
        <f aca="false">IF(AND(H$78-$S93+1-$B$22&gt;=1,H$78-$S93+1-$B$22&lt;=8),INDEX($C$27:$J$27,1,H$78-$S93+1-$B$22),0)*$U93*H$79</f>
        <v>0</v>
      </c>
      <c r="I93" s="22" t="n">
        <f aca="false">IF(AND(I$78-$S93+1-$B$22&gt;=1,I$78-$S93+1-$B$22&lt;=8),INDEX($C$27:$J$27,1,I$78-$S93+1-$B$22),0)*$U93*I$79</f>
        <v>0</v>
      </c>
      <c r="J93" s="22" t="n">
        <f aca="false">IF(AND(J$78-$S93+1-$B$22&gt;=1,J$78-$S93+1-$B$22&lt;=8),INDEX($C$27:$J$27,1,J$78-$S93+1-$B$22),0)*$U93*J$79</f>
        <v>0</v>
      </c>
      <c r="K93" s="22" t="n">
        <f aca="false">IF(AND(K$78-$S93+1-$B$22&gt;=1,K$78-$S93+1-$B$22&lt;=8),INDEX($C$27:$J$27,1,K$78-$S93+1-$B$22),0)*$U93*K$79</f>
        <v>0</v>
      </c>
      <c r="L93" s="22" t="n">
        <f aca="false">IF(AND(L$78-$S93+1-$B$22&gt;=1,L$78-$S93+1-$B$22&lt;=8),INDEX($C$27:$J$27,1,L$78-$S93+1-$B$22),0)*$U93*L$79</f>
        <v>0</v>
      </c>
      <c r="M93" s="22" t="n">
        <f aca="false">IF(AND(M$78-$S93+1-$B$22&gt;=1,M$78-$S93+1-$B$22&lt;=8),INDEX($C$27:$J$27,1,M$78-$S93+1-$B$22),0)*$U93*M$79</f>
        <v>0</v>
      </c>
      <c r="N93" s="22" t="n">
        <f aca="false">IF(AND(N$78-$S93+1-$B$22&gt;=1,N$78-$S93+1-$B$22&lt;=8),INDEX($C$27:$J$27,1,N$78-$S93+1-$B$22),0)*$U93*N$79</f>
        <v>0</v>
      </c>
      <c r="O93" s="22" t="n">
        <f aca="false">IF(AND(O$78-$S93+1-$B$22&gt;=1,O$78-$S93+1-$B$22&lt;=8),INDEX($C$27:$J$27,1,O$78-$S93+1-$B$22),0)*$U93*O$79</f>
        <v>0</v>
      </c>
      <c r="P93" s="22" t="n">
        <f aca="false">IF(AND(P$78-$S93+1-$B$22&gt;=1,P$78-$S93+1-$B$22&lt;=8),INDEX($C$27:$J$27,1,P$78-$S93+1-$B$22),0)*$U93*P$79</f>
        <v>0</v>
      </c>
      <c r="Q93" s="22" t="n">
        <f aca="false">IF(AND(Q$78-$S93+1-$B$22&gt;=1,Q$78-$S93+1-$B$22&lt;=8),INDEX($C$27:$J$27,1,Q$78-$S93+1-$B$22),0)*$U93*Q$79</f>
        <v>0</v>
      </c>
      <c r="S93" s="23" t="n">
        <f aca="false">$B$20+6</f>
        <v>2033</v>
      </c>
      <c r="T93" s="22" t="n">
        <f aca="false">IF($S93&gt;$B$20+Scenarios!$D$8-1,0,$B$19*(1+$B$21*Scenarios!$D$7)^6)</f>
        <v>0</v>
      </c>
      <c r="U93" s="24" t="n">
        <f aca="false">IFERROR($T93/INDEX($C$79:$Q$79,1,MATCH($S93,$C$78:$Q$78,0)),0)</f>
        <v>0</v>
      </c>
      <c r="V93" s="24" t="n">
        <f aca="false">SUMPRODUCT(($C$25:$J$25&lt;=$Q$78-$S93+1-$B$22)*$C$27:$J$27)*$U93</f>
        <v>0</v>
      </c>
      <c r="W93" s="24" t="n">
        <f aca="false">$U93-$V93</f>
        <v>0</v>
      </c>
    </row>
    <row r="94" customFormat="false" ht="15" hidden="false" customHeight="false" outlineLevel="0" collapsed="false">
      <c r="A94" s="2" t="s">
        <v>121</v>
      </c>
      <c r="C94" s="22" t="n">
        <f aca="false">IF(AND(C$78-$S94+1-$B$22&gt;=1,C$78-$S94+1-$B$22&lt;=8),INDEX($C$27:$J$27,1,C$78-$S94+1-$B$22),0)*$U94*C$79</f>
        <v>0</v>
      </c>
      <c r="D94" s="22" t="n">
        <f aca="false">IF(AND(D$78-$S94+1-$B$22&gt;=1,D$78-$S94+1-$B$22&lt;=8),INDEX($C$27:$J$27,1,D$78-$S94+1-$B$22),0)*$U94*D$79</f>
        <v>0</v>
      </c>
      <c r="E94" s="22" t="n">
        <f aca="false">IF(AND(E$78-$S94+1-$B$22&gt;=1,E$78-$S94+1-$B$22&lt;=8),INDEX($C$27:$J$27,1,E$78-$S94+1-$B$22),0)*$U94*E$79</f>
        <v>0</v>
      </c>
      <c r="F94" s="22" t="n">
        <f aca="false">IF(AND(F$78-$S94+1-$B$22&gt;=1,F$78-$S94+1-$B$22&lt;=8),INDEX($C$27:$J$27,1,F$78-$S94+1-$B$22),0)*$U94*F$79</f>
        <v>0</v>
      </c>
      <c r="G94" s="22" t="n">
        <f aca="false">IF(AND(G$78-$S94+1-$B$22&gt;=1,G$78-$S94+1-$B$22&lt;=8),INDEX($C$27:$J$27,1,G$78-$S94+1-$B$22),0)*$U94*G$79</f>
        <v>0</v>
      </c>
      <c r="H94" s="22" t="n">
        <f aca="false">IF(AND(H$78-$S94+1-$B$22&gt;=1,H$78-$S94+1-$B$22&lt;=8),INDEX($C$27:$J$27,1,H$78-$S94+1-$B$22),0)*$U94*H$79</f>
        <v>0</v>
      </c>
      <c r="I94" s="22" t="n">
        <f aca="false">IF(AND(I$78-$S94+1-$B$22&gt;=1,I$78-$S94+1-$B$22&lt;=8),INDEX($C$27:$J$27,1,I$78-$S94+1-$B$22),0)*$U94*I$79</f>
        <v>0</v>
      </c>
      <c r="J94" s="22" t="n">
        <f aca="false">IF(AND(J$78-$S94+1-$B$22&gt;=1,J$78-$S94+1-$B$22&lt;=8),INDEX($C$27:$J$27,1,J$78-$S94+1-$B$22),0)*$U94*J$79</f>
        <v>0</v>
      </c>
      <c r="K94" s="22" t="n">
        <f aca="false">IF(AND(K$78-$S94+1-$B$22&gt;=1,K$78-$S94+1-$B$22&lt;=8),INDEX($C$27:$J$27,1,K$78-$S94+1-$B$22),0)*$U94*K$79</f>
        <v>0</v>
      </c>
      <c r="L94" s="22" t="n">
        <f aca="false">IF(AND(L$78-$S94+1-$B$22&gt;=1,L$78-$S94+1-$B$22&lt;=8),INDEX($C$27:$J$27,1,L$78-$S94+1-$B$22),0)*$U94*L$79</f>
        <v>0</v>
      </c>
      <c r="M94" s="22" t="n">
        <f aca="false">IF(AND(M$78-$S94+1-$B$22&gt;=1,M$78-$S94+1-$B$22&lt;=8),INDEX($C$27:$J$27,1,M$78-$S94+1-$B$22),0)*$U94*M$79</f>
        <v>0</v>
      </c>
      <c r="N94" s="22" t="n">
        <f aca="false">IF(AND(N$78-$S94+1-$B$22&gt;=1,N$78-$S94+1-$B$22&lt;=8),INDEX($C$27:$J$27,1,N$78-$S94+1-$B$22),0)*$U94*N$79</f>
        <v>0</v>
      </c>
      <c r="O94" s="22" t="n">
        <f aca="false">IF(AND(O$78-$S94+1-$B$22&gt;=1,O$78-$S94+1-$B$22&lt;=8),INDEX($C$27:$J$27,1,O$78-$S94+1-$B$22),0)*$U94*O$79</f>
        <v>0</v>
      </c>
      <c r="P94" s="22" t="n">
        <f aca="false">IF(AND(P$78-$S94+1-$B$22&gt;=1,P$78-$S94+1-$B$22&lt;=8),INDEX($C$27:$J$27,1,P$78-$S94+1-$B$22),0)*$U94*P$79</f>
        <v>0</v>
      </c>
      <c r="Q94" s="22" t="n">
        <f aca="false">IF(AND(Q$78-$S94+1-$B$22&gt;=1,Q$78-$S94+1-$B$22&lt;=8),INDEX($C$27:$J$27,1,Q$78-$S94+1-$B$22),0)*$U94*Q$79</f>
        <v>0</v>
      </c>
      <c r="S94" s="23" t="n">
        <f aca="false">$B$20+7</f>
        <v>2034</v>
      </c>
      <c r="T94" s="22" t="n">
        <f aca="false">IF($S94&gt;$B$20+Scenarios!$D$8-1,0,$B$19*(1+$B$21*Scenarios!$D$7)^7)</f>
        <v>0</v>
      </c>
      <c r="U94" s="24" t="n">
        <f aca="false">IFERROR($T94/INDEX($C$79:$Q$79,1,MATCH($S94,$C$78:$Q$78,0)),0)</f>
        <v>0</v>
      </c>
      <c r="V94" s="24" t="n">
        <f aca="false">SUMPRODUCT(($C$25:$J$25&lt;=$Q$78-$S94+1-$B$22)*$C$27:$J$27)*$U94</f>
        <v>0</v>
      </c>
      <c r="W94" s="24" t="n">
        <f aca="false">$U94-$V94</f>
        <v>0</v>
      </c>
    </row>
    <row r="95" customFormat="false" ht="15" hidden="false" customHeight="false" outlineLevel="0" collapsed="false">
      <c r="A95" s="2" t="s">
        <v>122</v>
      </c>
      <c r="C95" s="22" t="n">
        <f aca="false">IF(AND(C$78-$S95+1-$B$22&gt;=1,C$78-$S95+1-$B$22&lt;=8),INDEX($C$27:$J$27,1,C$78-$S95+1-$B$22),0)*$U95*C$79</f>
        <v>0</v>
      </c>
      <c r="D95" s="22" t="n">
        <f aca="false">IF(AND(D$78-$S95+1-$B$22&gt;=1,D$78-$S95+1-$B$22&lt;=8),INDEX($C$27:$J$27,1,D$78-$S95+1-$B$22),0)*$U95*D$79</f>
        <v>0</v>
      </c>
      <c r="E95" s="22" t="n">
        <f aca="false">IF(AND(E$78-$S95+1-$B$22&gt;=1,E$78-$S95+1-$B$22&lt;=8),INDEX($C$27:$J$27,1,E$78-$S95+1-$B$22),0)*$U95*E$79</f>
        <v>0</v>
      </c>
      <c r="F95" s="22" t="n">
        <f aca="false">IF(AND(F$78-$S95+1-$B$22&gt;=1,F$78-$S95+1-$B$22&lt;=8),INDEX($C$27:$J$27,1,F$78-$S95+1-$B$22),0)*$U95*F$79</f>
        <v>0</v>
      </c>
      <c r="G95" s="22" t="n">
        <f aca="false">IF(AND(G$78-$S95+1-$B$22&gt;=1,G$78-$S95+1-$B$22&lt;=8),INDEX($C$27:$J$27,1,G$78-$S95+1-$B$22),0)*$U95*G$79</f>
        <v>0</v>
      </c>
      <c r="H95" s="22" t="n">
        <f aca="false">IF(AND(H$78-$S95+1-$B$22&gt;=1,H$78-$S95+1-$B$22&lt;=8),INDEX($C$27:$J$27,1,H$78-$S95+1-$B$22),0)*$U95*H$79</f>
        <v>0</v>
      </c>
      <c r="I95" s="22" t="n">
        <f aca="false">IF(AND(I$78-$S95+1-$B$22&gt;=1,I$78-$S95+1-$B$22&lt;=8),INDEX($C$27:$J$27,1,I$78-$S95+1-$B$22),0)*$U95*I$79</f>
        <v>0</v>
      </c>
      <c r="J95" s="22" t="n">
        <f aca="false">IF(AND(J$78-$S95+1-$B$22&gt;=1,J$78-$S95+1-$B$22&lt;=8),INDEX($C$27:$J$27,1,J$78-$S95+1-$B$22),0)*$U95*J$79</f>
        <v>0</v>
      </c>
      <c r="K95" s="22" t="n">
        <f aca="false">IF(AND(K$78-$S95+1-$B$22&gt;=1,K$78-$S95+1-$B$22&lt;=8),INDEX($C$27:$J$27,1,K$78-$S95+1-$B$22),0)*$U95*K$79</f>
        <v>0</v>
      </c>
      <c r="L95" s="22" t="n">
        <f aca="false">IF(AND(L$78-$S95+1-$B$22&gt;=1,L$78-$S95+1-$B$22&lt;=8),INDEX($C$27:$J$27,1,L$78-$S95+1-$B$22),0)*$U95*L$79</f>
        <v>0</v>
      </c>
      <c r="M95" s="22" t="n">
        <f aca="false">IF(AND(M$78-$S95+1-$B$22&gt;=1,M$78-$S95+1-$B$22&lt;=8),INDEX($C$27:$J$27,1,M$78-$S95+1-$B$22),0)*$U95*M$79</f>
        <v>0</v>
      </c>
      <c r="N95" s="22" t="n">
        <f aca="false">IF(AND(N$78-$S95+1-$B$22&gt;=1,N$78-$S95+1-$B$22&lt;=8),INDEX($C$27:$J$27,1,N$78-$S95+1-$B$22),0)*$U95*N$79</f>
        <v>0</v>
      </c>
      <c r="O95" s="22" t="n">
        <f aca="false">IF(AND(O$78-$S95+1-$B$22&gt;=1,O$78-$S95+1-$B$22&lt;=8),INDEX($C$27:$J$27,1,O$78-$S95+1-$B$22),0)*$U95*O$79</f>
        <v>0</v>
      </c>
      <c r="P95" s="22" t="n">
        <f aca="false">IF(AND(P$78-$S95+1-$B$22&gt;=1,P$78-$S95+1-$B$22&lt;=8),INDEX($C$27:$J$27,1,P$78-$S95+1-$B$22),0)*$U95*P$79</f>
        <v>0</v>
      </c>
      <c r="Q95" s="22" t="n">
        <f aca="false">IF(AND(Q$78-$S95+1-$B$22&gt;=1,Q$78-$S95+1-$B$22&lt;=8),INDEX($C$27:$J$27,1,Q$78-$S95+1-$B$22),0)*$U95*Q$79</f>
        <v>0</v>
      </c>
      <c r="S95" s="23" t="n">
        <f aca="false">$B$20+8</f>
        <v>2035</v>
      </c>
      <c r="T95" s="22" t="n">
        <f aca="false">IF($S95&gt;$B$20+Scenarios!$D$8-1,0,$B$19*(1+$B$21*Scenarios!$D$7)^8)</f>
        <v>0</v>
      </c>
      <c r="U95" s="24" t="n">
        <f aca="false">IFERROR($T95/INDEX($C$79:$Q$79,1,MATCH($S95,$C$78:$Q$78,0)),0)</f>
        <v>0</v>
      </c>
      <c r="V95" s="24" t="n">
        <f aca="false">SUMPRODUCT(($C$25:$J$25&lt;=$Q$78-$S95+1-$B$22)*$C$27:$J$27)*$U95</f>
        <v>0</v>
      </c>
      <c r="W95" s="24" t="n">
        <f aca="false">$U95-$V95</f>
        <v>0</v>
      </c>
    </row>
    <row r="96" customFormat="false" ht="15" hidden="false" customHeight="false" outlineLevel="0" collapsed="false">
      <c r="A96" s="2" t="s">
        <v>123</v>
      </c>
      <c r="C96" s="22" t="n">
        <f aca="false">IF(AND(C$78-$S96+1-$B$22&gt;=1,C$78-$S96+1-$B$22&lt;=8),INDEX($C$27:$J$27,1,C$78-$S96+1-$B$22),0)*$U96*C$79</f>
        <v>0</v>
      </c>
      <c r="D96" s="22" t="n">
        <f aca="false">IF(AND(D$78-$S96+1-$B$22&gt;=1,D$78-$S96+1-$B$22&lt;=8),INDEX($C$27:$J$27,1,D$78-$S96+1-$B$22),0)*$U96*D$79</f>
        <v>0</v>
      </c>
      <c r="E96" s="22" t="n">
        <f aca="false">IF(AND(E$78-$S96+1-$B$22&gt;=1,E$78-$S96+1-$B$22&lt;=8),INDEX($C$27:$J$27,1,E$78-$S96+1-$B$22),0)*$U96*E$79</f>
        <v>0</v>
      </c>
      <c r="F96" s="22" t="n">
        <f aca="false">IF(AND(F$78-$S96+1-$B$22&gt;=1,F$78-$S96+1-$B$22&lt;=8),INDEX($C$27:$J$27,1,F$78-$S96+1-$B$22),0)*$U96*F$79</f>
        <v>0</v>
      </c>
      <c r="G96" s="22" t="n">
        <f aca="false">IF(AND(G$78-$S96+1-$B$22&gt;=1,G$78-$S96+1-$B$22&lt;=8),INDEX($C$27:$J$27,1,G$78-$S96+1-$B$22),0)*$U96*G$79</f>
        <v>0</v>
      </c>
      <c r="H96" s="22" t="n">
        <f aca="false">IF(AND(H$78-$S96+1-$B$22&gt;=1,H$78-$S96+1-$B$22&lt;=8),INDEX($C$27:$J$27,1,H$78-$S96+1-$B$22),0)*$U96*H$79</f>
        <v>0</v>
      </c>
      <c r="I96" s="22" t="n">
        <f aca="false">IF(AND(I$78-$S96+1-$B$22&gt;=1,I$78-$S96+1-$B$22&lt;=8),INDEX($C$27:$J$27,1,I$78-$S96+1-$B$22),0)*$U96*I$79</f>
        <v>0</v>
      </c>
      <c r="J96" s="22" t="n">
        <f aca="false">IF(AND(J$78-$S96+1-$B$22&gt;=1,J$78-$S96+1-$B$22&lt;=8),INDEX($C$27:$J$27,1,J$78-$S96+1-$B$22),0)*$U96*J$79</f>
        <v>0</v>
      </c>
      <c r="K96" s="22" t="n">
        <f aca="false">IF(AND(K$78-$S96+1-$B$22&gt;=1,K$78-$S96+1-$B$22&lt;=8),INDEX($C$27:$J$27,1,K$78-$S96+1-$B$22),0)*$U96*K$79</f>
        <v>0</v>
      </c>
      <c r="L96" s="22" t="n">
        <f aca="false">IF(AND(L$78-$S96+1-$B$22&gt;=1,L$78-$S96+1-$B$22&lt;=8),INDEX($C$27:$J$27,1,L$78-$S96+1-$B$22),0)*$U96*L$79</f>
        <v>0</v>
      </c>
      <c r="M96" s="22" t="n">
        <f aca="false">IF(AND(M$78-$S96+1-$B$22&gt;=1,M$78-$S96+1-$B$22&lt;=8),INDEX($C$27:$J$27,1,M$78-$S96+1-$B$22),0)*$U96*M$79</f>
        <v>0</v>
      </c>
      <c r="N96" s="22" t="n">
        <f aca="false">IF(AND(N$78-$S96+1-$B$22&gt;=1,N$78-$S96+1-$B$22&lt;=8),INDEX($C$27:$J$27,1,N$78-$S96+1-$B$22),0)*$U96*N$79</f>
        <v>0</v>
      </c>
      <c r="O96" s="22" t="n">
        <f aca="false">IF(AND(O$78-$S96+1-$B$22&gt;=1,O$78-$S96+1-$B$22&lt;=8),INDEX($C$27:$J$27,1,O$78-$S96+1-$B$22),0)*$U96*O$79</f>
        <v>0</v>
      </c>
      <c r="P96" s="22" t="n">
        <f aca="false">IF(AND(P$78-$S96+1-$B$22&gt;=1,P$78-$S96+1-$B$22&lt;=8),INDEX($C$27:$J$27,1,P$78-$S96+1-$B$22),0)*$U96*P$79</f>
        <v>0</v>
      </c>
      <c r="Q96" s="22" t="n">
        <f aca="false">IF(AND(Q$78-$S96+1-$B$22&gt;=1,Q$78-$S96+1-$B$22&lt;=8),INDEX($C$27:$J$27,1,Q$78-$S96+1-$B$22),0)*$U96*Q$79</f>
        <v>0</v>
      </c>
      <c r="S96" s="23" t="n">
        <f aca="false">$B$20+9</f>
        <v>2036</v>
      </c>
      <c r="T96" s="22" t="n">
        <f aca="false">IF($S96&gt;$B$20+Scenarios!$D$8-1,0,$B$19*(1+$B$21*Scenarios!$D$7)^9)</f>
        <v>0</v>
      </c>
      <c r="U96" s="24" t="n">
        <f aca="false">IFERROR($T96/INDEX($C$79:$Q$79,1,MATCH($S96,$C$78:$Q$78,0)),0)</f>
        <v>0</v>
      </c>
      <c r="V96" s="24" t="n">
        <f aca="false">SUMPRODUCT(($C$25:$J$25&lt;=$Q$78-$S96+1-$B$22)*$C$27:$J$27)*$U96</f>
        <v>0</v>
      </c>
      <c r="W96" s="24" t="n">
        <f aca="false">$U96-$V96</f>
        <v>0</v>
      </c>
    </row>
    <row r="97" customFormat="false" ht="15" hidden="false" customHeight="false" outlineLevel="0" collapsed="false">
      <c r="A97" s="2" t="s">
        <v>124</v>
      </c>
      <c r="C97" s="22" t="n">
        <f aca="false">IF(AND(C$78-$S97+1-$B$22&gt;=1,C$78-$S97+1-$B$22&lt;=8),INDEX($C$27:$J$27,1,C$78-$S97+1-$B$22),0)*$U97*C$79</f>
        <v>0</v>
      </c>
      <c r="D97" s="22" t="n">
        <f aca="false">IF(AND(D$78-$S97+1-$B$22&gt;=1,D$78-$S97+1-$B$22&lt;=8),INDEX($C$27:$J$27,1,D$78-$S97+1-$B$22),0)*$U97*D$79</f>
        <v>0</v>
      </c>
      <c r="E97" s="22" t="n">
        <f aca="false">IF(AND(E$78-$S97+1-$B$22&gt;=1,E$78-$S97+1-$B$22&lt;=8),INDEX($C$27:$J$27,1,E$78-$S97+1-$B$22),0)*$U97*E$79</f>
        <v>0</v>
      </c>
      <c r="F97" s="22" t="n">
        <f aca="false">IF(AND(F$78-$S97+1-$B$22&gt;=1,F$78-$S97+1-$B$22&lt;=8),INDEX($C$27:$J$27,1,F$78-$S97+1-$B$22),0)*$U97*F$79</f>
        <v>0</v>
      </c>
      <c r="G97" s="22" t="n">
        <f aca="false">IF(AND(G$78-$S97+1-$B$22&gt;=1,G$78-$S97+1-$B$22&lt;=8),INDEX($C$27:$J$27,1,G$78-$S97+1-$B$22),0)*$U97*G$79</f>
        <v>0</v>
      </c>
      <c r="H97" s="22" t="n">
        <f aca="false">IF(AND(H$78-$S97+1-$B$22&gt;=1,H$78-$S97+1-$B$22&lt;=8),INDEX($C$27:$J$27,1,H$78-$S97+1-$B$22),0)*$U97*H$79</f>
        <v>0</v>
      </c>
      <c r="I97" s="22" t="n">
        <f aca="false">IF(AND(I$78-$S97+1-$B$22&gt;=1,I$78-$S97+1-$B$22&lt;=8),INDEX($C$27:$J$27,1,I$78-$S97+1-$B$22),0)*$U97*I$79</f>
        <v>0</v>
      </c>
      <c r="J97" s="22" t="n">
        <f aca="false">IF(AND(J$78-$S97+1-$B$22&gt;=1,J$78-$S97+1-$B$22&lt;=8),INDEX($C$27:$J$27,1,J$78-$S97+1-$B$22),0)*$U97*J$79</f>
        <v>0</v>
      </c>
      <c r="K97" s="22" t="n">
        <f aca="false">IF(AND(K$78-$S97+1-$B$22&gt;=1,K$78-$S97+1-$B$22&lt;=8),INDEX($C$27:$J$27,1,K$78-$S97+1-$B$22),0)*$U97*K$79</f>
        <v>0</v>
      </c>
      <c r="L97" s="22" t="n">
        <f aca="false">IF(AND(L$78-$S97+1-$B$22&gt;=1,L$78-$S97+1-$B$22&lt;=8),INDEX($C$27:$J$27,1,L$78-$S97+1-$B$22),0)*$U97*L$79</f>
        <v>0</v>
      </c>
      <c r="M97" s="22" t="n">
        <f aca="false">IF(AND(M$78-$S97+1-$B$22&gt;=1,M$78-$S97+1-$B$22&lt;=8),INDEX($C$27:$J$27,1,M$78-$S97+1-$B$22),0)*$U97*M$79</f>
        <v>0</v>
      </c>
      <c r="N97" s="22" t="n">
        <f aca="false">IF(AND(N$78-$S97+1-$B$22&gt;=1,N$78-$S97+1-$B$22&lt;=8),INDEX($C$27:$J$27,1,N$78-$S97+1-$B$22),0)*$U97*N$79</f>
        <v>0</v>
      </c>
      <c r="O97" s="22" t="n">
        <f aca="false">IF(AND(O$78-$S97+1-$B$22&gt;=1,O$78-$S97+1-$B$22&lt;=8),INDEX($C$27:$J$27,1,O$78-$S97+1-$B$22),0)*$U97*O$79</f>
        <v>0</v>
      </c>
      <c r="P97" s="22" t="n">
        <f aca="false">IF(AND(P$78-$S97+1-$B$22&gt;=1,P$78-$S97+1-$B$22&lt;=8),INDEX($C$27:$J$27,1,P$78-$S97+1-$B$22),0)*$U97*P$79</f>
        <v>0</v>
      </c>
      <c r="Q97" s="22" t="n">
        <f aca="false">IF(AND(Q$78-$S97+1-$B$22&gt;=1,Q$78-$S97+1-$B$22&lt;=8),INDEX($C$27:$J$27,1,Q$78-$S97+1-$B$22),0)*$U97*Q$79</f>
        <v>0</v>
      </c>
      <c r="S97" s="23" t="n">
        <f aca="false">$B$20+10</f>
        <v>2037</v>
      </c>
      <c r="T97" s="22" t="n">
        <f aca="false">IF($S97&gt;$B$20+Scenarios!$D$8-1,0,$B$19*(1+$B$21*Scenarios!$D$7)^10)</f>
        <v>0</v>
      </c>
      <c r="U97" s="24" t="n">
        <f aca="false">IFERROR($T97/INDEX($C$79:$Q$79,1,MATCH($S97,$C$78:$Q$78,0)),0)</f>
        <v>0</v>
      </c>
      <c r="V97" s="24" t="n">
        <f aca="false">SUMPRODUCT(($C$25:$J$25&lt;=$Q$78-$S97+1-$B$22)*$C$27:$J$27)*$U97</f>
        <v>0</v>
      </c>
      <c r="W97" s="24" t="n">
        <f aca="false">$U97-$V97</f>
        <v>0</v>
      </c>
    </row>
    <row r="98" customFormat="false" ht="15" hidden="false" customHeight="false" outlineLevel="0" collapsed="false">
      <c r="A98" s="2" t="s">
        <v>125</v>
      </c>
      <c r="C98" s="22" t="n">
        <f aca="false">IF(AND(C$78-$S98+1-$B$22&gt;=1,C$78-$S98+1-$B$22&lt;=8),INDEX($C$27:$J$27,1,C$78-$S98+1-$B$22),0)*$U98*C$79</f>
        <v>0</v>
      </c>
      <c r="D98" s="22" t="n">
        <f aca="false">IF(AND(D$78-$S98+1-$B$22&gt;=1,D$78-$S98+1-$B$22&lt;=8),INDEX($C$27:$J$27,1,D$78-$S98+1-$B$22),0)*$U98*D$79</f>
        <v>0</v>
      </c>
      <c r="E98" s="22" t="n">
        <f aca="false">IF(AND(E$78-$S98+1-$B$22&gt;=1,E$78-$S98+1-$B$22&lt;=8),INDEX($C$27:$J$27,1,E$78-$S98+1-$B$22),0)*$U98*E$79</f>
        <v>0</v>
      </c>
      <c r="F98" s="22" t="n">
        <f aca="false">IF(AND(F$78-$S98+1-$B$22&gt;=1,F$78-$S98+1-$B$22&lt;=8),INDEX($C$27:$J$27,1,F$78-$S98+1-$B$22),0)*$U98*F$79</f>
        <v>0</v>
      </c>
      <c r="G98" s="22" t="n">
        <f aca="false">IF(AND(G$78-$S98+1-$B$22&gt;=1,G$78-$S98+1-$B$22&lt;=8),INDEX($C$27:$J$27,1,G$78-$S98+1-$B$22),0)*$U98*G$79</f>
        <v>0</v>
      </c>
      <c r="H98" s="22" t="n">
        <f aca="false">IF(AND(H$78-$S98+1-$B$22&gt;=1,H$78-$S98+1-$B$22&lt;=8),INDEX($C$27:$J$27,1,H$78-$S98+1-$B$22),0)*$U98*H$79</f>
        <v>0</v>
      </c>
      <c r="I98" s="22" t="n">
        <f aca="false">IF(AND(I$78-$S98+1-$B$22&gt;=1,I$78-$S98+1-$B$22&lt;=8),INDEX($C$27:$J$27,1,I$78-$S98+1-$B$22),0)*$U98*I$79</f>
        <v>0</v>
      </c>
      <c r="J98" s="22" t="n">
        <f aca="false">IF(AND(J$78-$S98+1-$B$22&gt;=1,J$78-$S98+1-$B$22&lt;=8),INDEX($C$27:$J$27,1,J$78-$S98+1-$B$22),0)*$U98*J$79</f>
        <v>0</v>
      </c>
      <c r="K98" s="22" t="n">
        <f aca="false">IF(AND(K$78-$S98+1-$B$22&gt;=1,K$78-$S98+1-$B$22&lt;=8),INDEX($C$27:$J$27,1,K$78-$S98+1-$B$22),0)*$U98*K$79</f>
        <v>0</v>
      </c>
      <c r="L98" s="22" t="n">
        <f aca="false">IF(AND(L$78-$S98+1-$B$22&gt;=1,L$78-$S98+1-$B$22&lt;=8),INDEX($C$27:$J$27,1,L$78-$S98+1-$B$22),0)*$U98*L$79</f>
        <v>0</v>
      </c>
      <c r="M98" s="22" t="n">
        <f aca="false">IF(AND(M$78-$S98+1-$B$22&gt;=1,M$78-$S98+1-$B$22&lt;=8),INDEX($C$27:$J$27,1,M$78-$S98+1-$B$22),0)*$U98*M$79</f>
        <v>0</v>
      </c>
      <c r="N98" s="22" t="n">
        <f aca="false">IF(AND(N$78-$S98+1-$B$22&gt;=1,N$78-$S98+1-$B$22&lt;=8),INDEX($C$27:$J$27,1,N$78-$S98+1-$B$22),0)*$U98*N$79</f>
        <v>0</v>
      </c>
      <c r="O98" s="22" t="n">
        <f aca="false">IF(AND(O$78-$S98+1-$B$22&gt;=1,O$78-$S98+1-$B$22&lt;=8),INDEX($C$27:$J$27,1,O$78-$S98+1-$B$22),0)*$U98*O$79</f>
        <v>0</v>
      </c>
      <c r="P98" s="22" t="n">
        <f aca="false">IF(AND(P$78-$S98+1-$B$22&gt;=1,P$78-$S98+1-$B$22&lt;=8),INDEX($C$27:$J$27,1,P$78-$S98+1-$B$22),0)*$U98*P$79</f>
        <v>0</v>
      </c>
      <c r="Q98" s="22" t="n">
        <f aca="false">IF(AND(Q$78-$S98+1-$B$22&gt;=1,Q$78-$S98+1-$B$22&lt;=8),INDEX($C$27:$J$27,1,Q$78-$S98+1-$B$22),0)*$U98*Q$79</f>
        <v>0</v>
      </c>
      <c r="S98" s="23" t="n">
        <f aca="false">$B$20+11</f>
        <v>2038</v>
      </c>
      <c r="T98" s="22" t="n">
        <f aca="false">IF($S98&gt;$B$20+Scenarios!$D$8-1,0,$B$19*(1+$B$21*Scenarios!$D$7)^11)</f>
        <v>0</v>
      </c>
      <c r="U98" s="24" t="n">
        <f aca="false">IFERROR($T98/INDEX($C$79:$Q$79,1,MATCH($S98,$C$78:$Q$78,0)),0)</f>
        <v>0</v>
      </c>
      <c r="V98" s="24" t="n">
        <f aca="false">SUMPRODUCT(($C$25:$J$25&lt;=$Q$78-$S98+1-$B$22)*$C$27:$J$27)*$U98</f>
        <v>0</v>
      </c>
      <c r="W98" s="24" t="n">
        <f aca="false">$U98-$V98</f>
        <v>0</v>
      </c>
    </row>
    <row r="100" customFormat="false" ht="15" hidden="false" customHeight="false" outlineLevel="0" collapsed="false">
      <c r="A100" s="2" t="s">
        <v>126</v>
      </c>
      <c r="C100" s="22" t="n">
        <f aca="false">C86</f>
        <v>0</v>
      </c>
      <c r="D100" s="22" t="n">
        <f aca="false">D86</f>
        <v>0</v>
      </c>
      <c r="E100" s="22" t="n">
        <f aca="false">E86</f>
        <v>0</v>
      </c>
      <c r="F100" s="22" t="n">
        <f aca="false">F86</f>
        <v>0</v>
      </c>
      <c r="G100" s="22" t="n">
        <f aca="false">G86</f>
        <v>0</v>
      </c>
      <c r="H100" s="22" t="n">
        <f aca="false">H86</f>
        <v>0</v>
      </c>
      <c r="I100" s="22" t="n">
        <f aca="false">I86</f>
        <v>0</v>
      </c>
      <c r="J100" s="22" t="n">
        <f aca="false">J86</f>
        <v>0</v>
      </c>
      <c r="K100" s="22" t="n">
        <f aca="false">K86</f>
        <v>0</v>
      </c>
      <c r="L100" s="22" t="n">
        <f aca="false">L86</f>
        <v>0</v>
      </c>
      <c r="M100" s="22" t="n">
        <f aca="false">M86</f>
        <v>0</v>
      </c>
      <c r="N100" s="22" t="n">
        <f aca="false">N86</f>
        <v>0</v>
      </c>
      <c r="O100" s="22" t="n">
        <f aca="false">O86</f>
        <v>0</v>
      </c>
      <c r="P100" s="22" t="n">
        <f aca="false">P86</f>
        <v>0</v>
      </c>
      <c r="Q100" s="22" t="n">
        <f aca="false">Q86</f>
        <v>0</v>
      </c>
    </row>
    <row r="101" customFormat="false" ht="15" hidden="false" customHeight="false" outlineLevel="0" collapsed="false">
      <c r="A101" s="2" t="s">
        <v>127</v>
      </c>
      <c r="C101" s="22" t="n">
        <f aca="false">SUM(C87:C98)</f>
        <v>0</v>
      </c>
      <c r="D101" s="22" t="n">
        <f aca="false">SUM(D87:D98)</f>
        <v>0</v>
      </c>
      <c r="E101" s="22" t="n">
        <f aca="false">SUM(E87:E98)</f>
        <v>0</v>
      </c>
      <c r="F101" s="22" t="n">
        <f aca="false">SUM(F87:F98)</f>
        <v>0</v>
      </c>
      <c r="G101" s="22" t="n">
        <f aca="false">SUM(G87:G98)</f>
        <v>0</v>
      </c>
      <c r="H101" s="22" t="n">
        <f aca="false">SUM(H87:H98)</f>
        <v>0</v>
      </c>
      <c r="I101" s="22" t="n">
        <f aca="false">SUM(I87:I98)</f>
        <v>0</v>
      </c>
      <c r="J101" s="22" t="n">
        <f aca="false">SUM(J87:J98)</f>
        <v>0</v>
      </c>
      <c r="K101" s="22" t="n">
        <f aca="false">SUM(K87:K98)</f>
        <v>0</v>
      </c>
      <c r="L101" s="22" t="n">
        <f aca="false">SUM(L87:L98)</f>
        <v>0</v>
      </c>
      <c r="M101" s="22" t="n">
        <f aca="false">SUM(M87:M98)</f>
        <v>0</v>
      </c>
      <c r="N101" s="22" t="n">
        <f aca="false">SUM(N87:N98)</f>
        <v>0</v>
      </c>
      <c r="O101" s="22" t="n">
        <f aca="false">SUM(O87:O98)</f>
        <v>0</v>
      </c>
      <c r="P101" s="22" t="n">
        <f aca="false">SUM(P87:P98)</f>
        <v>0</v>
      </c>
      <c r="Q101" s="22" t="n">
        <f aca="false">SUM(Q87:Q98)</f>
        <v>0</v>
      </c>
    </row>
    <row r="102" customFormat="false" ht="15" hidden="false" customHeight="false" outlineLevel="0" collapsed="false">
      <c r="A102" s="3" t="s">
        <v>128</v>
      </c>
      <c r="C102" s="25" t="n">
        <f aca="false">C100+C101</f>
        <v>0</v>
      </c>
      <c r="D102" s="25" t="n">
        <f aca="false">D100+D101</f>
        <v>0</v>
      </c>
      <c r="E102" s="25" t="n">
        <f aca="false">E100+E101</f>
        <v>0</v>
      </c>
      <c r="F102" s="25" t="n">
        <f aca="false">F100+F101</f>
        <v>0</v>
      </c>
      <c r="G102" s="25" t="n">
        <f aca="false">G100+G101</f>
        <v>0</v>
      </c>
      <c r="H102" s="25" t="n">
        <f aca="false">H100+H101</f>
        <v>0</v>
      </c>
      <c r="I102" s="25" t="n">
        <f aca="false">I100+I101</f>
        <v>0</v>
      </c>
      <c r="J102" s="25" t="n">
        <f aca="false">J100+J101</f>
        <v>0</v>
      </c>
      <c r="K102" s="25" t="n">
        <f aca="false">K100+K101</f>
        <v>0</v>
      </c>
      <c r="L102" s="25" t="n">
        <f aca="false">L100+L101</f>
        <v>0</v>
      </c>
      <c r="M102" s="25" t="n">
        <f aca="false">M100+M101</f>
        <v>0</v>
      </c>
      <c r="N102" s="25" t="n">
        <f aca="false">N100+N101</f>
        <v>0</v>
      </c>
      <c r="O102" s="25" t="n">
        <f aca="false">O100+O101</f>
        <v>0</v>
      </c>
      <c r="P102" s="25" t="n">
        <f aca="false">P100+P101</f>
        <v>0</v>
      </c>
      <c r="Q102" s="25" t="n">
        <f aca="false">Q100+Q101</f>
        <v>0</v>
      </c>
    </row>
    <row r="103" customFormat="false" ht="15" hidden="false" customHeight="false" outlineLevel="0" collapsed="false">
      <c r="A103" s="2" t="s">
        <v>129</v>
      </c>
      <c r="C103" s="23" t="n">
        <f aca="false">SUMPRODUCT((C86:C98&gt;0)*1)</f>
        <v>0</v>
      </c>
      <c r="D103" s="23" t="n">
        <f aca="false">SUMPRODUCT((D86:D98&gt;0)*1)</f>
        <v>0</v>
      </c>
      <c r="E103" s="23" t="n">
        <f aca="false">SUMPRODUCT((E86:E98&gt;0)*1)</f>
        <v>0</v>
      </c>
      <c r="F103" s="23" t="n">
        <f aca="false">SUMPRODUCT((F86:F98&gt;0)*1)</f>
        <v>0</v>
      </c>
      <c r="G103" s="23" t="n">
        <f aca="false">SUMPRODUCT((G86:G98&gt;0)*1)</f>
        <v>0</v>
      </c>
      <c r="H103" s="23" t="n">
        <f aca="false">SUMPRODUCT((H86:H98&gt;0)*1)</f>
        <v>0</v>
      </c>
      <c r="I103" s="23" t="n">
        <f aca="false">SUMPRODUCT((I86:I98&gt;0)*1)</f>
        <v>0</v>
      </c>
      <c r="J103" s="23" t="n">
        <f aca="false">SUMPRODUCT((J86:J98&gt;0)*1)</f>
        <v>0</v>
      </c>
      <c r="K103" s="23" t="n">
        <f aca="false">SUMPRODUCT((K86:K98&gt;0)*1)</f>
        <v>0</v>
      </c>
      <c r="L103" s="23" t="n">
        <f aca="false">SUMPRODUCT((L86:L98&gt;0)*1)</f>
        <v>0</v>
      </c>
      <c r="M103" s="23" t="n">
        <f aca="false">SUMPRODUCT((M86:M98&gt;0)*1)</f>
        <v>0</v>
      </c>
      <c r="N103" s="23" t="n">
        <f aca="false">SUMPRODUCT((N86:N98&gt;0)*1)</f>
        <v>0</v>
      </c>
      <c r="O103" s="23" t="n">
        <f aca="false">SUMPRODUCT((O86:O98&gt;0)*1)</f>
        <v>0</v>
      </c>
      <c r="P103" s="23" t="n">
        <f aca="false">SUMPRODUCT((P86:P98&gt;0)*1)</f>
        <v>0</v>
      </c>
      <c r="Q103" s="23" t="n">
        <f aca="false">SUMPRODUCT((Q86:Q98&gt;0)*1)</f>
        <v>0</v>
      </c>
    </row>
    <row r="105" customFormat="false" ht="15" hidden="false" customHeight="false" outlineLevel="0" collapsed="false">
      <c r="A105" s="3" t="s">
        <v>130</v>
      </c>
      <c r="C105" s="26" t="n">
        <f aca="false">C80+C82+C83+C102</f>
        <v>335500</v>
      </c>
      <c r="D105" s="26" t="n">
        <f aca="false">D80+D82+D83+D102</f>
        <v>345565</v>
      </c>
      <c r="E105" s="26" t="n">
        <f aca="false">E80+E82+E83+E102</f>
        <v>355931.95</v>
      </c>
      <c r="F105" s="26" t="n">
        <f aca="false">F80+F82+F83+F102</f>
        <v>366609.9085</v>
      </c>
      <c r="G105" s="26" t="n">
        <f aca="false">G80+G82+G83+G102</f>
        <v>377608.205755</v>
      </c>
      <c r="H105" s="26" t="n">
        <f aca="false">H80+H82+H83+H102</f>
        <v>388936.45192765</v>
      </c>
      <c r="I105" s="26" t="n">
        <f aca="false">I80+I82+I83+I102</f>
        <v>400604.545485479</v>
      </c>
      <c r="J105" s="26" t="n">
        <f aca="false">J80+J82+J83+J102</f>
        <v>412622.681850044</v>
      </c>
      <c r="K105" s="26" t="n">
        <f aca="false">K80+K82+K83+K102</f>
        <v>425001.362305545</v>
      </c>
      <c r="L105" s="26" t="n">
        <f aca="false">L80+L82+L83+L102</f>
        <v>437751.403174712</v>
      </c>
      <c r="M105" s="26" t="n">
        <f aca="false">M80+M82+M83+M102</f>
        <v>450883.945269953</v>
      </c>
      <c r="N105" s="26" t="n">
        <f aca="false">N80+N82+N83+N102</f>
        <v>464410.463628051</v>
      </c>
      <c r="O105" s="26" t="n">
        <f aca="false">O80+O82+O83+O102</f>
        <v>478342.777536893</v>
      </c>
      <c r="P105" s="26" t="n">
        <f aca="false">P80+P82+P83+P102</f>
        <v>492693.060863</v>
      </c>
      <c r="Q105" s="26" t="n">
        <f aca="false">Q80+Q82+Q83+Q102</f>
        <v>507473.85268889</v>
      </c>
    </row>
    <row r="106" customFormat="false" ht="15" hidden="false" customHeight="false" outlineLevel="0" collapsed="false">
      <c r="A106" s="3" t="s">
        <v>131</v>
      </c>
      <c r="C106" s="25" t="n">
        <f aca="false">C105</f>
        <v>335500</v>
      </c>
      <c r="D106" s="25" t="n">
        <f aca="false">C106+D105</f>
        <v>681065</v>
      </c>
      <c r="E106" s="25" t="n">
        <f aca="false">D106+E105</f>
        <v>1036996.95</v>
      </c>
      <c r="F106" s="25" t="n">
        <f aca="false">E106+F105</f>
        <v>1403606.8585</v>
      </c>
      <c r="G106" s="25" t="n">
        <f aca="false">F106+G105</f>
        <v>1781215.064255</v>
      </c>
      <c r="H106" s="25" t="n">
        <f aca="false">G106+H105</f>
        <v>2170151.51618265</v>
      </c>
      <c r="I106" s="25" t="n">
        <f aca="false">H106+I105</f>
        <v>2570756.06166813</v>
      </c>
      <c r="J106" s="25" t="n">
        <f aca="false">I106+J105</f>
        <v>2983378.74351817</v>
      </c>
      <c r="K106" s="25" t="n">
        <f aca="false">J106+K105</f>
        <v>3408380.10582372</v>
      </c>
      <c r="L106" s="25" t="n">
        <f aca="false">K106+L105</f>
        <v>3846131.50899843</v>
      </c>
      <c r="M106" s="25" t="n">
        <f aca="false">L106+M105</f>
        <v>4297015.45426838</v>
      </c>
      <c r="N106" s="25" t="n">
        <f aca="false">M106+N105</f>
        <v>4761425.91789644</v>
      </c>
      <c r="O106" s="25" t="n">
        <f aca="false">N106+O105</f>
        <v>5239768.69543333</v>
      </c>
      <c r="P106" s="25" t="n">
        <f aca="false">O106+P105</f>
        <v>5732461.75629633</v>
      </c>
      <c r="Q106" s="25" t="n">
        <f aca="false">P106+Q105</f>
        <v>6239935.60898522</v>
      </c>
    </row>
    <row r="108" customFormat="false" ht="15" hidden="false" customHeight="false" outlineLevel="0" collapsed="false">
      <c r="A108" s="2" t="s">
        <v>132</v>
      </c>
      <c r="B108" s="24" t="n">
        <f aca="false">SUM(W86:W98)</f>
        <v>0</v>
      </c>
    </row>
    <row r="109" customFormat="false" ht="15" hidden="false" customHeight="false" outlineLevel="0" collapsed="false">
      <c r="A109" s="2" t="s">
        <v>133</v>
      </c>
      <c r="B109" s="22" t="n">
        <f aca="false">B108*$Q$79</f>
        <v>0</v>
      </c>
    </row>
    <row r="121" customFormat="false" ht="15" hidden="false" customHeight="false" outlineLevel="0" collapsed="false">
      <c r="A121" s="18" t="s">
        <v>135</v>
      </c>
      <c r="B121" s="19" t="str">
        <f aca="false">Scenarios!E$3</f>
        <v>Aggressive</v>
      </c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</row>
    <row r="122" customFormat="false" ht="15" hidden="false" customHeight="false" outlineLevel="0" collapsed="false">
      <c r="A122" s="3" t="s">
        <v>101</v>
      </c>
      <c r="C122" s="17" t="n">
        <v>1</v>
      </c>
      <c r="D122" s="17" t="n">
        <v>2</v>
      </c>
      <c r="E122" s="17" t="n">
        <v>3</v>
      </c>
      <c r="F122" s="17" t="n">
        <v>4</v>
      </c>
      <c r="G122" s="17" t="n">
        <v>5</v>
      </c>
      <c r="H122" s="17" t="n">
        <v>6</v>
      </c>
      <c r="I122" s="17" t="n">
        <v>7</v>
      </c>
      <c r="J122" s="17" t="n">
        <v>8</v>
      </c>
      <c r="K122" s="17" t="n">
        <v>9</v>
      </c>
      <c r="L122" s="17" t="n">
        <v>10</v>
      </c>
      <c r="M122" s="17" t="n">
        <v>11</v>
      </c>
      <c r="N122" s="17" t="n">
        <v>12</v>
      </c>
      <c r="O122" s="17" t="n">
        <v>13</v>
      </c>
      <c r="P122" s="17" t="n">
        <v>14</v>
      </c>
      <c r="Q122" s="17" t="n">
        <v>15</v>
      </c>
    </row>
    <row r="123" customFormat="false" ht="15" hidden="false" customHeight="false" outlineLevel="0" collapsed="false">
      <c r="A123" s="3" t="s">
        <v>102</v>
      </c>
      <c r="C123" s="17" t="n">
        <f aca="false">$B$6</f>
        <v>2026</v>
      </c>
      <c r="D123" s="17" t="n">
        <f aca="false">C123+1</f>
        <v>2027</v>
      </c>
      <c r="E123" s="17" t="n">
        <f aca="false">D123+1</f>
        <v>2028</v>
      </c>
      <c r="F123" s="17" t="n">
        <f aca="false">E123+1</f>
        <v>2029</v>
      </c>
      <c r="G123" s="17" t="n">
        <f aca="false">F123+1</f>
        <v>2030</v>
      </c>
      <c r="H123" s="17" t="n">
        <f aca="false">G123+1</f>
        <v>2031</v>
      </c>
      <c r="I123" s="17" t="n">
        <f aca="false">H123+1</f>
        <v>2032</v>
      </c>
      <c r="J123" s="17" t="n">
        <f aca="false">I123+1</f>
        <v>2033</v>
      </c>
      <c r="K123" s="17" t="n">
        <f aca="false">J123+1</f>
        <v>2034</v>
      </c>
      <c r="L123" s="17" t="n">
        <f aca="false">K123+1</f>
        <v>2035</v>
      </c>
      <c r="M123" s="17" t="n">
        <f aca="false">L123+1</f>
        <v>2036</v>
      </c>
      <c r="N123" s="17" t="n">
        <f aca="false">M123+1</f>
        <v>2037</v>
      </c>
      <c r="O123" s="17" t="n">
        <f aca="false">N123+1</f>
        <v>2038</v>
      </c>
      <c r="P123" s="17" t="n">
        <f aca="false">O123+1</f>
        <v>2039</v>
      </c>
      <c r="Q123" s="17" t="n">
        <f aca="false">P123+1</f>
        <v>2040</v>
      </c>
    </row>
    <row r="124" customFormat="false" ht="15" hidden="false" customHeight="false" outlineLevel="0" collapsed="false">
      <c r="A124" s="2" t="s">
        <v>103</v>
      </c>
      <c r="C124" s="21" t="n">
        <f aca="false">$B$17</f>
        <v>1</v>
      </c>
      <c r="D124" s="21" t="n">
        <f aca="false">C124*(1+Scenarios!$E$4)</f>
        <v>1.15</v>
      </c>
      <c r="E124" s="21" t="n">
        <f aca="false">D124*(1+Scenarios!$E$4)</f>
        <v>1.3225</v>
      </c>
      <c r="F124" s="21" t="n">
        <f aca="false">E124*(1+Scenarios!$E$4)</f>
        <v>1.520875</v>
      </c>
      <c r="G124" s="21" t="n">
        <f aca="false">F124*(1+Scenarios!$E$4)</f>
        <v>1.74900625</v>
      </c>
      <c r="H124" s="21" t="n">
        <f aca="false">G124*(1+Scenarios!$E$4)</f>
        <v>2.0113571875</v>
      </c>
      <c r="I124" s="21" t="n">
        <f aca="false">H124*(1+Scenarios!$E$4)</f>
        <v>2.313060765625</v>
      </c>
      <c r="J124" s="21" t="n">
        <f aca="false">I124*(1+Scenarios!$E$4)</f>
        <v>2.66001988046875</v>
      </c>
      <c r="K124" s="21" t="n">
        <f aca="false">J124*(1+Scenarios!$E$4)</f>
        <v>3.05902286253906</v>
      </c>
      <c r="L124" s="21" t="n">
        <f aca="false">K124*(1+Scenarios!$E$4)</f>
        <v>3.51787629191992</v>
      </c>
      <c r="M124" s="21" t="n">
        <f aca="false">L124*(1+Scenarios!$E$4)</f>
        <v>4.04555773570791</v>
      </c>
      <c r="N124" s="21" t="n">
        <f aca="false">M124*(1+Scenarios!$E$4)</f>
        <v>4.65239139606409</v>
      </c>
      <c r="O124" s="21" t="n">
        <f aca="false">N124*(1+Scenarios!$E$4)</f>
        <v>5.35025010547371</v>
      </c>
      <c r="P124" s="21" t="n">
        <f aca="false">O124*(1+Scenarios!$E$4)</f>
        <v>6.15278762129476</v>
      </c>
      <c r="Q124" s="21" t="n">
        <f aca="false">P124*(1+Scenarios!$E$4)</f>
        <v>7.07570576448898</v>
      </c>
    </row>
    <row r="125" customFormat="false" ht="15" hidden="false" customHeight="false" outlineLevel="0" collapsed="false">
      <c r="A125" s="2" t="s">
        <v>104</v>
      </c>
      <c r="C125" s="22" t="n">
        <f aca="false">$B$7</f>
        <v>275000</v>
      </c>
      <c r="D125" s="22" t="n">
        <f aca="false">C125*(1+$B$8*Scenarios!$E$5)</f>
        <v>287375</v>
      </c>
      <c r="E125" s="22" t="n">
        <f aca="false">D125*(1+$B$8*Scenarios!$E$5)</f>
        <v>300306.875</v>
      </c>
      <c r="F125" s="22" t="n">
        <f aca="false">E125*(1+$B$8*Scenarios!$E$5)</f>
        <v>313820.684375</v>
      </c>
      <c r="G125" s="22" t="n">
        <f aca="false">F125*(1+$B$8*Scenarios!$E$5)</f>
        <v>327942.615171875</v>
      </c>
      <c r="H125" s="22" t="n">
        <f aca="false">G125*(1+$B$8*Scenarios!$E$5)</f>
        <v>342700.032854609</v>
      </c>
      <c r="I125" s="22" t="n">
        <f aca="false">H125*(1+$B$8*Scenarios!$E$5)</f>
        <v>358121.534333067</v>
      </c>
      <c r="J125" s="22" t="n">
        <f aca="false">I125*(1+$B$8*Scenarios!$E$5)</f>
        <v>374237.003378055</v>
      </c>
      <c r="K125" s="22" t="n">
        <f aca="false">J125*(1+$B$8*Scenarios!$E$5)</f>
        <v>391077.668530067</v>
      </c>
      <c r="L125" s="22" t="n">
        <f aca="false">K125*(1+$B$8*Scenarios!$E$5)</f>
        <v>408676.16361392</v>
      </c>
      <c r="M125" s="22" t="n">
        <f aca="false">L125*(1+$B$8*Scenarios!$E$5)</f>
        <v>427066.590976547</v>
      </c>
      <c r="N125" s="22" t="n">
        <f aca="false">M125*(1+$B$8*Scenarios!$E$5)</f>
        <v>446284.587570491</v>
      </c>
      <c r="O125" s="22" t="n">
        <f aca="false">N125*(1+$B$8*Scenarios!$E$5)</f>
        <v>466367.394011163</v>
      </c>
      <c r="P125" s="22" t="n">
        <f aca="false">O125*(1+$B$8*Scenarios!$E$5)</f>
        <v>487353.926741665</v>
      </c>
      <c r="Q125" s="22" t="n">
        <f aca="false">P125*(1+$B$8*Scenarios!$E$5)</f>
        <v>509284.85344504</v>
      </c>
    </row>
    <row r="126" customFormat="false" ht="15" hidden="false" customHeight="false" outlineLevel="0" collapsed="false">
      <c r="A126" s="2" t="s">
        <v>105</v>
      </c>
      <c r="C126" s="22" t="n">
        <f aca="false">IF($B$10="Prior",0,C125)</f>
        <v>275000</v>
      </c>
      <c r="D126" s="22" t="n">
        <f aca="false">IF($B$10="Prior",C125,D125)</f>
        <v>287375</v>
      </c>
      <c r="E126" s="22" t="n">
        <f aca="false">IF($B$10="Prior",D125,E125)</f>
        <v>300306.875</v>
      </c>
      <c r="F126" s="22" t="n">
        <f aca="false">IF($B$10="Prior",E125,F125)</f>
        <v>313820.684375</v>
      </c>
      <c r="G126" s="22" t="n">
        <f aca="false">IF($B$10="Prior",F125,G125)</f>
        <v>327942.615171875</v>
      </c>
      <c r="H126" s="22" t="n">
        <f aca="false">IF($B$10="Prior",G125,H125)</f>
        <v>342700.032854609</v>
      </c>
      <c r="I126" s="22" t="n">
        <f aca="false">IF($B$10="Prior",H125,I125)</f>
        <v>358121.534333067</v>
      </c>
      <c r="J126" s="22" t="n">
        <f aca="false">IF($B$10="Prior",I125,J125)</f>
        <v>374237.003378055</v>
      </c>
      <c r="K126" s="22" t="n">
        <f aca="false">IF($B$10="Prior",J125,K125)</f>
        <v>391077.668530067</v>
      </c>
      <c r="L126" s="22" t="n">
        <f aca="false">IF($B$10="Prior",K125,L125)</f>
        <v>408676.16361392</v>
      </c>
      <c r="M126" s="22" t="n">
        <f aca="false">IF($B$10="Prior",L125,M125)</f>
        <v>427066.590976547</v>
      </c>
      <c r="N126" s="22" t="n">
        <f aca="false">IF($B$10="Prior",M125,N125)</f>
        <v>446284.587570491</v>
      </c>
      <c r="O126" s="22" t="n">
        <f aca="false">IF($B$10="Prior",N125,O125)</f>
        <v>466367.394011163</v>
      </c>
      <c r="P126" s="22" t="n">
        <f aca="false">IF($B$10="Prior",O125,P125)</f>
        <v>487353.926741665</v>
      </c>
      <c r="Q126" s="22" t="n">
        <f aca="false">IF($B$10="Prior",P125,Q125)</f>
        <v>509284.85344504</v>
      </c>
    </row>
    <row r="127" customFormat="false" ht="15" hidden="false" customHeight="false" outlineLevel="0" collapsed="false">
      <c r="A127" s="2" t="s">
        <v>106</v>
      </c>
      <c r="C127" s="22" t="n">
        <f aca="false">IF($B$11="No",0,C126*$B$9*Scenarios!$E$6)</f>
        <v>75625</v>
      </c>
      <c r="D127" s="22" t="n">
        <f aca="false">D126*$B$9*Scenarios!$E$6</f>
        <v>79028.125</v>
      </c>
      <c r="E127" s="22" t="n">
        <f aca="false">E126*$B$9*Scenarios!$E$6</f>
        <v>82584.390625</v>
      </c>
      <c r="F127" s="22" t="n">
        <f aca="false">F126*$B$9*Scenarios!$E$6</f>
        <v>86300.688203125</v>
      </c>
      <c r="G127" s="22" t="n">
        <f aca="false">G126*$B$9*Scenarios!$E$6</f>
        <v>90184.2191722656</v>
      </c>
      <c r="H127" s="22" t="n">
        <f aca="false">H126*$B$9*Scenarios!$E$6</f>
        <v>94242.5090350176</v>
      </c>
      <c r="I127" s="22" t="n">
        <f aca="false">I126*$B$9*Scenarios!$E$6</f>
        <v>98483.4219415934</v>
      </c>
      <c r="J127" s="22" t="n">
        <f aca="false">J126*$B$9*Scenarios!$E$6</f>
        <v>102915.175928965</v>
      </c>
      <c r="K127" s="22" t="n">
        <f aca="false">K126*$B$9*Scenarios!$E$6</f>
        <v>107546.358845768</v>
      </c>
      <c r="L127" s="22" t="n">
        <f aca="false">L126*$B$9*Scenarios!$E$6</f>
        <v>112385.944993828</v>
      </c>
      <c r="M127" s="22" t="n">
        <f aca="false">M126*$B$9*Scenarios!$E$6</f>
        <v>117443.31251855</v>
      </c>
      <c r="N127" s="22" t="n">
        <f aca="false">N126*$B$9*Scenarios!$E$6</f>
        <v>122728.261581885</v>
      </c>
      <c r="O127" s="22" t="n">
        <f aca="false">O126*$B$9*Scenarios!$E$6</f>
        <v>128251.03335307</v>
      </c>
      <c r="P127" s="22" t="n">
        <f aca="false">P126*$B$9*Scenarios!$E$6</f>
        <v>134022.329853958</v>
      </c>
      <c r="Q127" s="22" t="n">
        <f aca="false">Q126*$B$9*Scenarios!$E$6</f>
        <v>140053.334697386</v>
      </c>
    </row>
    <row r="128" customFormat="false" ht="15" hidden="false" customHeight="false" outlineLevel="0" collapsed="false">
      <c r="A128" s="2" t="s">
        <v>107</v>
      </c>
      <c r="C128" s="22" t="n">
        <f aca="false">$B$12*$B$13</f>
        <v>0</v>
      </c>
      <c r="D128" s="22" t="n">
        <f aca="false">$B$12*$B$14</f>
        <v>0</v>
      </c>
      <c r="E128" s="22" t="n">
        <f aca="false">$B$12*$B$15</f>
        <v>0</v>
      </c>
      <c r="F128" s="22" t="n">
        <v>0</v>
      </c>
      <c r="G128" s="22" t="n">
        <v>0</v>
      </c>
      <c r="H128" s="22" t="n">
        <v>0</v>
      </c>
      <c r="I128" s="22" t="n">
        <v>0</v>
      </c>
      <c r="J128" s="22" t="n">
        <v>0</v>
      </c>
      <c r="K128" s="22" t="n">
        <v>0</v>
      </c>
      <c r="L128" s="22" t="n">
        <v>0</v>
      </c>
      <c r="M128" s="22" t="n">
        <v>0</v>
      </c>
      <c r="N128" s="22" t="n">
        <v>0</v>
      </c>
      <c r="O128" s="22" t="n">
        <v>0</v>
      </c>
      <c r="P128" s="22" t="n">
        <v>0</v>
      </c>
      <c r="Q128" s="22" t="n">
        <v>0</v>
      </c>
    </row>
    <row r="130" customFormat="false" ht="15" hidden="false" customHeight="false" outlineLevel="0" collapsed="false">
      <c r="A130" s="3" t="s">
        <v>108</v>
      </c>
      <c r="S130" s="7" t="s">
        <v>109</v>
      </c>
      <c r="T130" s="7" t="s">
        <v>110</v>
      </c>
      <c r="U130" s="7" t="s">
        <v>111</v>
      </c>
      <c r="V130" s="7" t="s">
        <v>112</v>
      </c>
      <c r="W130" s="7" t="s">
        <v>113</v>
      </c>
    </row>
    <row r="131" customFormat="false" ht="15" hidden="false" customHeight="false" outlineLevel="0" collapsed="false">
      <c r="A131" s="2" t="s">
        <v>97</v>
      </c>
      <c r="C131" s="22" t="n">
        <f aca="false">IF(AND(C$123-$S131+1-$B$22&gt;=1,C$123-$S131+1-$B$22&lt;=8),INDEX($C$26:$J$26,1,C$123-$S131+1-$B$22),0)*$U131*C$124</f>
        <v>0</v>
      </c>
      <c r="D131" s="22" t="n">
        <f aca="false">IF(AND(D$123-$S131+1-$B$22&gt;=1,D$123-$S131+1-$B$22&lt;=8),INDEX($C$26:$J$26,1,D$123-$S131+1-$B$22),0)*$U131*D$124</f>
        <v>0</v>
      </c>
      <c r="E131" s="22" t="n">
        <f aca="false">IF(AND(E$123-$S131+1-$B$22&gt;=1,E$123-$S131+1-$B$22&lt;=8),INDEX($C$26:$J$26,1,E$123-$S131+1-$B$22),0)*$U131*E$124</f>
        <v>0</v>
      </c>
      <c r="F131" s="22" t="n">
        <f aca="false">IF(AND(F$123-$S131+1-$B$22&gt;=1,F$123-$S131+1-$B$22&lt;=8),INDEX($C$26:$J$26,1,F$123-$S131+1-$B$22),0)*$U131*F$124</f>
        <v>0</v>
      </c>
      <c r="G131" s="22" t="n">
        <f aca="false">IF(AND(G$123-$S131+1-$B$22&gt;=1,G$123-$S131+1-$B$22&lt;=8),INDEX($C$26:$J$26,1,G$123-$S131+1-$B$22),0)*$U131*G$124</f>
        <v>0</v>
      </c>
      <c r="H131" s="22" t="n">
        <f aca="false">IF(AND(H$123-$S131+1-$B$22&gt;=1,H$123-$S131+1-$B$22&lt;=8),INDEX($C$26:$J$26,1,H$123-$S131+1-$B$22),0)*$U131*H$124</f>
        <v>0</v>
      </c>
      <c r="I131" s="22" t="n">
        <f aca="false">IF(AND(I$123-$S131+1-$B$22&gt;=1,I$123-$S131+1-$B$22&lt;=8),INDEX($C$26:$J$26,1,I$123-$S131+1-$B$22),0)*$U131*I$124</f>
        <v>0</v>
      </c>
      <c r="J131" s="22" t="n">
        <f aca="false">IF(AND(J$123-$S131+1-$B$22&gt;=1,J$123-$S131+1-$B$22&lt;=8),INDEX($C$26:$J$26,1,J$123-$S131+1-$B$22),0)*$U131*J$124</f>
        <v>0</v>
      </c>
      <c r="K131" s="22" t="n">
        <f aca="false">IF(AND(K$123-$S131+1-$B$22&gt;=1,K$123-$S131+1-$B$22&lt;=8),INDEX($C$26:$J$26,1,K$123-$S131+1-$B$22),0)*$U131*K$124</f>
        <v>0</v>
      </c>
      <c r="L131" s="22" t="n">
        <f aca="false">IF(AND(L$123-$S131+1-$B$22&gt;=1,L$123-$S131+1-$B$22&lt;=8),INDEX($C$26:$J$26,1,L$123-$S131+1-$B$22),0)*$U131*L$124</f>
        <v>0</v>
      </c>
      <c r="M131" s="22" t="n">
        <f aca="false">IF(AND(M$123-$S131+1-$B$22&gt;=1,M$123-$S131+1-$B$22&lt;=8),INDEX($C$26:$J$26,1,M$123-$S131+1-$B$22),0)*$U131*M$124</f>
        <v>0</v>
      </c>
      <c r="N131" s="22" t="n">
        <f aca="false">IF(AND(N$123-$S131+1-$B$22&gt;=1,N$123-$S131+1-$B$22&lt;=8),INDEX($C$26:$J$26,1,N$123-$S131+1-$B$22),0)*$U131*N$124</f>
        <v>0</v>
      </c>
      <c r="O131" s="22" t="n">
        <f aca="false">IF(AND(O$123-$S131+1-$B$22&gt;=1,O$123-$S131+1-$B$22&lt;=8),INDEX($C$26:$J$26,1,O$123-$S131+1-$B$22),0)*$U131*O$124</f>
        <v>0</v>
      </c>
      <c r="P131" s="22" t="n">
        <f aca="false">IF(AND(P$123-$S131+1-$B$22&gt;=1,P$123-$S131+1-$B$22&lt;=8),INDEX($C$26:$J$26,1,P$123-$S131+1-$B$22),0)*$U131*P$124</f>
        <v>0</v>
      </c>
      <c r="Q131" s="22" t="n">
        <f aca="false">IF(AND(Q$123-$S131+1-$B$22&gt;=1,Q$123-$S131+1-$B$22&lt;=8),INDEX($C$26:$J$26,1,Q$123-$S131+1-$B$22),0)*$U131*Q$124</f>
        <v>0</v>
      </c>
      <c r="S131" s="23" t="n">
        <f aca="false">$B$6</f>
        <v>2026</v>
      </c>
      <c r="T131" s="22" t="n">
        <f aca="false">$B$18</f>
        <v>0</v>
      </c>
      <c r="U131" s="24" t="n">
        <f aca="false">IFERROR(T131/$B$17,0)</f>
        <v>0</v>
      </c>
      <c r="V131" s="24" t="n">
        <f aca="false">SUMPRODUCT(($C$25:$J$25&lt;=$Q$123-$S131+1-$B$22)*$C$26:$J$26)*$U131</f>
        <v>0</v>
      </c>
      <c r="W131" s="24" t="n">
        <f aca="false">$U131-$V131</f>
        <v>0</v>
      </c>
    </row>
    <row r="132" customFormat="false" ht="15" hidden="false" customHeight="false" outlineLevel="0" collapsed="false">
      <c r="A132" s="2" t="s">
        <v>114</v>
      </c>
      <c r="C132" s="22" t="n">
        <f aca="false">IF(AND(C$123-$S132+1-$B$22&gt;=1,C$123-$S132+1-$B$22&lt;=8),INDEX($C$27:$J$27,1,C$123-$S132+1-$B$22),0)*$U132*C$124</f>
        <v>0</v>
      </c>
      <c r="D132" s="22" t="n">
        <f aca="false">IF(AND(D$123-$S132+1-$B$22&gt;=1,D$123-$S132+1-$B$22&lt;=8),INDEX($C$27:$J$27,1,D$123-$S132+1-$B$22),0)*$U132*D$124</f>
        <v>0</v>
      </c>
      <c r="E132" s="22" t="n">
        <f aca="false">IF(AND(E$123-$S132+1-$B$22&gt;=1,E$123-$S132+1-$B$22&lt;=8),INDEX($C$27:$J$27,1,E$123-$S132+1-$B$22),0)*$U132*E$124</f>
        <v>0</v>
      </c>
      <c r="F132" s="22" t="n">
        <f aca="false">IF(AND(F$123-$S132+1-$B$22&gt;=1,F$123-$S132+1-$B$22&lt;=8),INDEX($C$27:$J$27,1,F$123-$S132+1-$B$22),0)*$U132*F$124</f>
        <v>0</v>
      </c>
      <c r="G132" s="22" t="n">
        <f aca="false">IF(AND(G$123-$S132+1-$B$22&gt;=1,G$123-$S132+1-$B$22&lt;=8),INDEX($C$27:$J$27,1,G$123-$S132+1-$B$22),0)*$U132*G$124</f>
        <v>0</v>
      </c>
      <c r="H132" s="22" t="n">
        <f aca="false">IF(AND(H$123-$S132+1-$B$22&gt;=1,H$123-$S132+1-$B$22&lt;=8),INDEX($C$27:$J$27,1,H$123-$S132+1-$B$22),0)*$U132*H$124</f>
        <v>0</v>
      </c>
      <c r="I132" s="22" t="n">
        <f aca="false">IF(AND(I$123-$S132+1-$B$22&gt;=1,I$123-$S132+1-$B$22&lt;=8),INDEX($C$27:$J$27,1,I$123-$S132+1-$B$22),0)*$U132*I$124</f>
        <v>0</v>
      </c>
      <c r="J132" s="22" t="n">
        <f aca="false">IF(AND(J$123-$S132+1-$B$22&gt;=1,J$123-$S132+1-$B$22&lt;=8),INDEX($C$27:$J$27,1,J$123-$S132+1-$B$22),0)*$U132*J$124</f>
        <v>0</v>
      </c>
      <c r="K132" s="22" t="n">
        <f aca="false">IF(AND(K$123-$S132+1-$B$22&gt;=1,K$123-$S132+1-$B$22&lt;=8),INDEX($C$27:$J$27,1,K$123-$S132+1-$B$22),0)*$U132*K$124</f>
        <v>0</v>
      </c>
      <c r="L132" s="22" t="n">
        <f aca="false">IF(AND(L$123-$S132+1-$B$22&gt;=1,L$123-$S132+1-$B$22&lt;=8),INDEX($C$27:$J$27,1,L$123-$S132+1-$B$22),0)*$U132*L$124</f>
        <v>0</v>
      </c>
      <c r="M132" s="22" t="n">
        <f aca="false">IF(AND(M$123-$S132+1-$B$22&gt;=1,M$123-$S132+1-$B$22&lt;=8),INDEX($C$27:$J$27,1,M$123-$S132+1-$B$22),0)*$U132*M$124</f>
        <v>0</v>
      </c>
      <c r="N132" s="22" t="n">
        <f aca="false">IF(AND(N$123-$S132+1-$B$22&gt;=1,N$123-$S132+1-$B$22&lt;=8),INDEX($C$27:$J$27,1,N$123-$S132+1-$B$22),0)*$U132*N$124</f>
        <v>0</v>
      </c>
      <c r="O132" s="22" t="n">
        <f aca="false">IF(AND(O$123-$S132+1-$B$22&gt;=1,O$123-$S132+1-$B$22&lt;=8),INDEX($C$27:$J$27,1,O$123-$S132+1-$B$22),0)*$U132*O$124</f>
        <v>0</v>
      </c>
      <c r="P132" s="22" t="n">
        <f aca="false">IF(AND(P$123-$S132+1-$B$22&gt;=1,P$123-$S132+1-$B$22&lt;=8),INDEX($C$27:$J$27,1,P$123-$S132+1-$B$22),0)*$U132*P$124</f>
        <v>0</v>
      </c>
      <c r="Q132" s="22" t="n">
        <f aca="false">IF(AND(Q$123-$S132+1-$B$22&gt;=1,Q$123-$S132+1-$B$22&lt;=8),INDEX($C$27:$J$27,1,Q$123-$S132+1-$B$22),0)*$U132*Q$124</f>
        <v>0</v>
      </c>
      <c r="S132" s="23" t="n">
        <f aca="false">$B$20+0</f>
        <v>2027</v>
      </c>
      <c r="T132" s="22" t="n">
        <f aca="false">IF($S132&gt;$B$20+Scenarios!$E$8-1,0,$B$19*(1+$B$21*Scenarios!$E$7)^0)</f>
        <v>0</v>
      </c>
      <c r="U132" s="24" t="n">
        <f aca="false">IFERROR($T132/INDEX($C$124:$Q$124,1,MATCH($S132,$C$123:$Q$123,0)),0)</f>
        <v>0</v>
      </c>
      <c r="V132" s="24" t="n">
        <f aca="false">SUMPRODUCT(($C$25:$J$25&lt;=$Q$123-$S132+1-$B$22)*$C$27:$J$27)*$U132</f>
        <v>0</v>
      </c>
      <c r="W132" s="24" t="n">
        <f aca="false">$U132-$V132</f>
        <v>0</v>
      </c>
    </row>
    <row r="133" customFormat="false" ht="15" hidden="false" customHeight="false" outlineLevel="0" collapsed="false">
      <c r="A133" s="2" t="s">
        <v>115</v>
      </c>
      <c r="C133" s="22" t="n">
        <f aca="false">IF(AND(C$123-$S133+1-$B$22&gt;=1,C$123-$S133+1-$B$22&lt;=8),INDEX($C$27:$J$27,1,C$123-$S133+1-$B$22),0)*$U133*C$124</f>
        <v>0</v>
      </c>
      <c r="D133" s="22" t="n">
        <f aca="false">IF(AND(D$123-$S133+1-$B$22&gt;=1,D$123-$S133+1-$B$22&lt;=8),INDEX($C$27:$J$27,1,D$123-$S133+1-$B$22),0)*$U133*D$124</f>
        <v>0</v>
      </c>
      <c r="E133" s="22" t="n">
        <f aca="false">IF(AND(E$123-$S133+1-$B$22&gt;=1,E$123-$S133+1-$B$22&lt;=8),INDEX($C$27:$J$27,1,E$123-$S133+1-$B$22),0)*$U133*E$124</f>
        <v>0</v>
      </c>
      <c r="F133" s="22" t="n">
        <f aca="false">IF(AND(F$123-$S133+1-$B$22&gt;=1,F$123-$S133+1-$B$22&lt;=8),INDEX($C$27:$J$27,1,F$123-$S133+1-$B$22),0)*$U133*F$124</f>
        <v>0</v>
      </c>
      <c r="G133" s="22" t="n">
        <f aca="false">IF(AND(G$123-$S133+1-$B$22&gt;=1,G$123-$S133+1-$B$22&lt;=8),INDEX($C$27:$J$27,1,G$123-$S133+1-$B$22),0)*$U133*G$124</f>
        <v>0</v>
      </c>
      <c r="H133" s="22" t="n">
        <f aca="false">IF(AND(H$123-$S133+1-$B$22&gt;=1,H$123-$S133+1-$B$22&lt;=8),INDEX($C$27:$J$27,1,H$123-$S133+1-$B$22),0)*$U133*H$124</f>
        <v>0</v>
      </c>
      <c r="I133" s="22" t="n">
        <f aca="false">IF(AND(I$123-$S133+1-$B$22&gt;=1,I$123-$S133+1-$B$22&lt;=8),INDEX($C$27:$J$27,1,I$123-$S133+1-$B$22),0)*$U133*I$124</f>
        <v>0</v>
      </c>
      <c r="J133" s="22" t="n">
        <f aca="false">IF(AND(J$123-$S133+1-$B$22&gt;=1,J$123-$S133+1-$B$22&lt;=8),INDEX($C$27:$J$27,1,J$123-$S133+1-$B$22),0)*$U133*J$124</f>
        <v>0</v>
      </c>
      <c r="K133" s="22" t="n">
        <f aca="false">IF(AND(K$123-$S133+1-$B$22&gt;=1,K$123-$S133+1-$B$22&lt;=8),INDEX($C$27:$J$27,1,K$123-$S133+1-$B$22),0)*$U133*K$124</f>
        <v>0</v>
      </c>
      <c r="L133" s="22" t="n">
        <f aca="false">IF(AND(L$123-$S133+1-$B$22&gt;=1,L$123-$S133+1-$B$22&lt;=8),INDEX($C$27:$J$27,1,L$123-$S133+1-$B$22),0)*$U133*L$124</f>
        <v>0</v>
      </c>
      <c r="M133" s="22" t="n">
        <f aca="false">IF(AND(M$123-$S133+1-$B$22&gt;=1,M$123-$S133+1-$B$22&lt;=8),INDEX($C$27:$J$27,1,M$123-$S133+1-$B$22),0)*$U133*M$124</f>
        <v>0</v>
      </c>
      <c r="N133" s="22" t="n">
        <f aca="false">IF(AND(N$123-$S133+1-$B$22&gt;=1,N$123-$S133+1-$B$22&lt;=8),INDEX($C$27:$J$27,1,N$123-$S133+1-$B$22),0)*$U133*N$124</f>
        <v>0</v>
      </c>
      <c r="O133" s="22" t="n">
        <f aca="false">IF(AND(O$123-$S133+1-$B$22&gt;=1,O$123-$S133+1-$B$22&lt;=8),INDEX($C$27:$J$27,1,O$123-$S133+1-$B$22),0)*$U133*O$124</f>
        <v>0</v>
      </c>
      <c r="P133" s="22" t="n">
        <f aca="false">IF(AND(P$123-$S133+1-$B$22&gt;=1,P$123-$S133+1-$B$22&lt;=8),INDEX($C$27:$J$27,1,P$123-$S133+1-$B$22),0)*$U133*P$124</f>
        <v>0</v>
      </c>
      <c r="Q133" s="22" t="n">
        <f aca="false">IF(AND(Q$123-$S133+1-$B$22&gt;=1,Q$123-$S133+1-$B$22&lt;=8),INDEX($C$27:$J$27,1,Q$123-$S133+1-$B$22),0)*$U133*Q$124</f>
        <v>0</v>
      </c>
      <c r="S133" s="23" t="n">
        <f aca="false">$B$20+1</f>
        <v>2028</v>
      </c>
      <c r="T133" s="22" t="n">
        <f aca="false">IF($S133&gt;$B$20+Scenarios!$E$8-1,0,$B$19*(1+$B$21*Scenarios!$E$7)^1)</f>
        <v>0</v>
      </c>
      <c r="U133" s="24" t="n">
        <f aca="false">IFERROR($T133/INDEX($C$124:$Q$124,1,MATCH($S133,$C$123:$Q$123,0)),0)</f>
        <v>0</v>
      </c>
      <c r="V133" s="24" t="n">
        <f aca="false">SUMPRODUCT(($C$25:$J$25&lt;=$Q$123-$S133+1-$B$22)*$C$27:$J$27)*$U133</f>
        <v>0</v>
      </c>
      <c r="W133" s="24" t="n">
        <f aca="false">$U133-$V133</f>
        <v>0</v>
      </c>
    </row>
    <row r="134" customFormat="false" ht="15" hidden="false" customHeight="false" outlineLevel="0" collapsed="false">
      <c r="A134" s="2" t="s">
        <v>116</v>
      </c>
      <c r="C134" s="22" t="n">
        <f aca="false">IF(AND(C$123-$S134+1-$B$22&gt;=1,C$123-$S134+1-$B$22&lt;=8),INDEX($C$27:$J$27,1,C$123-$S134+1-$B$22),0)*$U134*C$124</f>
        <v>0</v>
      </c>
      <c r="D134" s="22" t="n">
        <f aca="false">IF(AND(D$123-$S134+1-$B$22&gt;=1,D$123-$S134+1-$B$22&lt;=8),INDEX($C$27:$J$27,1,D$123-$S134+1-$B$22),0)*$U134*D$124</f>
        <v>0</v>
      </c>
      <c r="E134" s="22" t="n">
        <f aca="false">IF(AND(E$123-$S134+1-$B$22&gt;=1,E$123-$S134+1-$B$22&lt;=8),INDEX($C$27:$J$27,1,E$123-$S134+1-$B$22),0)*$U134*E$124</f>
        <v>0</v>
      </c>
      <c r="F134" s="22" t="n">
        <f aca="false">IF(AND(F$123-$S134+1-$B$22&gt;=1,F$123-$S134+1-$B$22&lt;=8),INDEX($C$27:$J$27,1,F$123-$S134+1-$B$22),0)*$U134*F$124</f>
        <v>0</v>
      </c>
      <c r="G134" s="22" t="n">
        <f aca="false">IF(AND(G$123-$S134+1-$B$22&gt;=1,G$123-$S134+1-$B$22&lt;=8),INDEX($C$27:$J$27,1,G$123-$S134+1-$B$22),0)*$U134*G$124</f>
        <v>0</v>
      </c>
      <c r="H134" s="22" t="n">
        <f aca="false">IF(AND(H$123-$S134+1-$B$22&gt;=1,H$123-$S134+1-$B$22&lt;=8),INDEX($C$27:$J$27,1,H$123-$S134+1-$B$22),0)*$U134*H$124</f>
        <v>0</v>
      </c>
      <c r="I134" s="22" t="n">
        <f aca="false">IF(AND(I$123-$S134+1-$B$22&gt;=1,I$123-$S134+1-$B$22&lt;=8),INDEX($C$27:$J$27,1,I$123-$S134+1-$B$22),0)*$U134*I$124</f>
        <v>0</v>
      </c>
      <c r="J134" s="22" t="n">
        <f aca="false">IF(AND(J$123-$S134+1-$B$22&gt;=1,J$123-$S134+1-$B$22&lt;=8),INDEX($C$27:$J$27,1,J$123-$S134+1-$B$22),0)*$U134*J$124</f>
        <v>0</v>
      </c>
      <c r="K134" s="22" t="n">
        <f aca="false">IF(AND(K$123-$S134+1-$B$22&gt;=1,K$123-$S134+1-$B$22&lt;=8),INDEX($C$27:$J$27,1,K$123-$S134+1-$B$22),0)*$U134*K$124</f>
        <v>0</v>
      </c>
      <c r="L134" s="22" t="n">
        <f aca="false">IF(AND(L$123-$S134+1-$B$22&gt;=1,L$123-$S134+1-$B$22&lt;=8),INDEX($C$27:$J$27,1,L$123-$S134+1-$B$22),0)*$U134*L$124</f>
        <v>0</v>
      </c>
      <c r="M134" s="22" t="n">
        <f aca="false">IF(AND(M$123-$S134+1-$B$22&gt;=1,M$123-$S134+1-$B$22&lt;=8),INDEX($C$27:$J$27,1,M$123-$S134+1-$B$22),0)*$U134*M$124</f>
        <v>0</v>
      </c>
      <c r="N134" s="22" t="n">
        <f aca="false">IF(AND(N$123-$S134+1-$B$22&gt;=1,N$123-$S134+1-$B$22&lt;=8),INDEX($C$27:$J$27,1,N$123-$S134+1-$B$22),0)*$U134*N$124</f>
        <v>0</v>
      </c>
      <c r="O134" s="22" t="n">
        <f aca="false">IF(AND(O$123-$S134+1-$B$22&gt;=1,O$123-$S134+1-$B$22&lt;=8),INDEX($C$27:$J$27,1,O$123-$S134+1-$B$22),0)*$U134*O$124</f>
        <v>0</v>
      </c>
      <c r="P134" s="22" t="n">
        <f aca="false">IF(AND(P$123-$S134+1-$B$22&gt;=1,P$123-$S134+1-$B$22&lt;=8),INDEX($C$27:$J$27,1,P$123-$S134+1-$B$22),0)*$U134*P$124</f>
        <v>0</v>
      </c>
      <c r="Q134" s="22" t="n">
        <f aca="false">IF(AND(Q$123-$S134+1-$B$22&gt;=1,Q$123-$S134+1-$B$22&lt;=8),INDEX($C$27:$J$27,1,Q$123-$S134+1-$B$22),0)*$U134*Q$124</f>
        <v>0</v>
      </c>
      <c r="S134" s="23" t="n">
        <f aca="false">$B$20+2</f>
        <v>2029</v>
      </c>
      <c r="T134" s="22" t="n">
        <f aca="false">IF($S134&gt;$B$20+Scenarios!$E$8-1,0,$B$19*(1+$B$21*Scenarios!$E$7)^2)</f>
        <v>0</v>
      </c>
      <c r="U134" s="24" t="n">
        <f aca="false">IFERROR($T134/INDEX($C$124:$Q$124,1,MATCH($S134,$C$123:$Q$123,0)),0)</f>
        <v>0</v>
      </c>
      <c r="V134" s="24" t="n">
        <f aca="false">SUMPRODUCT(($C$25:$J$25&lt;=$Q$123-$S134+1-$B$22)*$C$27:$J$27)*$U134</f>
        <v>0</v>
      </c>
      <c r="W134" s="24" t="n">
        <f aca="false">$U134-$V134</f>
        <v>0</v>
      </c>
    </row>
    <row r="135" customFormat="false" ht="15" hidden="false" customHeight="false" outlineLevel="0" collapsed="false">
      <c r="A135" s="2" t="s">
        <v>117</v>
      </c>
      <c r="C135" s="22" t="n">
        <f aca="false">IF(AND(C$123-$S135+1-$B$22&gt;=1,C$123-$S135+1-$B$22&lt;=8),INDEX($C$27:$J$27,1,C$123-$S135+1-$B$22),0)*$U135*C$124</f>
        <v>0</v>
      </c>
      <c r="D135" s="22" t="n">
        <f aca="false">IF(AND(D$123-$S135+1-$B$22&gt;=1,D$123-$S135+1-$B$22&lt;=8),INDEX($C$27:$J$27,1,D$123-$S135+1-$B$22),0)*$U135*D$124</f>
        <v>0</v>
      </c>
      <c r="E135" s="22" t="n">
        <f aca="false">IF(AND(E$123-$S135+1-$B$22&gt;=1,E$123-$S135+1-$B$22&lt;=8),INDEX($C$27:$J$27,1,E$123-$S135+1-$B$22),0)*$U135*E$124</f>
        <v>0</v>
      </c>
      <c r="F135" s="22" t="n">
        <f aca="false">IF(AND(F$123-$S135+1-$B$22&gt;=1,F$123-$S135+1-$B$22&lt;=8),INDEX($C$27:$J$27,1,F$123-$S135+1-$B$22),0)*$U135*F$124</f>
        <v>0</v>
      </c>
      <c r="G135" s="22" t="n">
        <f aca="false">IF(AND(G$123-$S135+1-$B$22&gt;=1,G$123-$S135+1-$B$22&lt;=8),INDEX($C$27:$J$27,1,G$123-$S135+1-$B$22),0)*$U135*G$124</f>
        <v>0</v>
      </c>
      <c r="H135" s="22" t="n">
        <f aca="false">IF(AND(H$123-$S135+1-$B$22&gt;=1,H$123-$S135+1-$B$22&lt;=8),INDEX($C$27:$J$27,1,H$123-$S135+1-$B$22),0)*$U135*H$124</f>
        <v>0</v>
      </c>
      <c r="I135" s="22" t="n">
        <f aca="false">IF(AND(I$123-$S135+1-$B$22&gt;=1,I$123-$S135+1-$B$22&lt;=8),INDEX($C$27:$J$27,1,I$123-$S135+1-$B$22),0)*$U135*I$124</f>
        <v>0</v>
      </c>
      <c r="J135" s="22" t="n">
        <f aca="false">IF(AND(J$123-$S135+1-$B$22&gt;=1,J$123-$S135+1-$B$22&lt;=8),INDEX($C$27:$J$27,1,J$123-$S135+1-$B$22),0)*$U135*J$124</f>
        <v>0</v>
      </c>
      <c r="K135" s="22" t="n">
        <f aca="false">IF(AND(K$123-$S135+1-$B$22&gt;=1,K$123-$S135+1-$B$22&lt;=8),INDEX($C$27:$J$27,1,K$123-$S135+1-$B$22),0)*$U135*K$124</f>
        <v>0</v>
      </c>
      <c r="L135" s="22" t="n">
        <f aca="false">IF(AND(L$123-$S135+1-$B$22&gt;=1,L$123-$S135+1-$B$22&lt;=8),INDEX($C$27:$J$27,1,L$123-$S135+1-$B$22),0)*$U135*L$124</f>
        <v>0</v>
      </c>
      <c r="M135" s="22" t="n">
        <f aca="false">IF(AND(M$123-$S135+1-$B$22&gt;=1,M$123-$S135+1-$B$22&lt;=8),INDEX($C$27:$J$27,1,M$123-$S135+1-$B$22),0)*$U135*M$124</f>
        <v>0</v>
      </c>
      <c r="N135" s="22" t="n">
        <f aca="false">IF(AND(N$123-$S135+1-$B$22&gt;=1,N$123-$S135+1-$B$22&lt;=8),INDEX($C$27:$J$27,1,N$123-$S135+1-$B$22),0)*$U135*N$124</f>
        <v>0</v>
      </c>
      <c r="O135" s="22" t="n">
        <f aca="false">IF(AND(O$123-$S135+1-$B$22&gt;=1,O$123-$S135+1-$B$22&lt;=8),INDEX($C$27:$J$27,1,O$123-$S135+1-$B$22),0)*$U135*O$124</f>
        <v>0</v>
      </c>
      <c r="P135" s="22" t="n">
        <f aca="false">IF(AND(P$123-$S135+1-$B$22&gt;=1,P$123-$S135+1-$B$22&lt;=8),INDEX($C$27:$J$27,1,P$123-$S135+1-$B$22),0)*$U135*P$124</f>
        <v>0</v>
      </c>
      <c r="Q135" s="22" t="n">
        <f aca="false">IF(AND(Q$123-$S135+1-$B$22&gt;=1,Q$123-$S135+1-$B$22&lt;=8),INDEX($C$27:$J$27,1,Q$123-$S135+1-$B$22),0)*$U135*Q$124</f>
        <v>0</v>
      </c>
      <c r="S135" s="23" t="n">
        <f aca="false">$B$20+3</f>
        <v>2030</v>
      </c>
      <c r="T135" s="22" t="n">
        <f aca="false">IF($S135&gt;$B$20+Scenarios!$E$8-1,0,$B$19*(1+$B$21*Scenarios!$E$7)^3)</f>
        <v>0</v>
      </c>
      <c r="U135" s="24" t="n">
        <f aca="false">IFERROR($T135/INDEX($C$124:$Q$124,1,MATCH($S135,$C$123:$Q$123,0)),0)</f>
        <v>0</v>
      </c>
      <c r="V135" s="24" t="n">
        <f aca="false">SUMPRODUCT(($C$25:$J$25&lt;=$Q$123-$S135+1-$B$22)*$C$27:$J$27)*$U135</f>
        <v>0</v>
      </c>
      <c r="W135" s="24" t="n">
        <f aca="false">$U135-$V135</f>
        <v>0</v>
      </c>
    </row>
    <row r="136" customFormat="false" ht="15" hidden="false" customHeight="false" outlineLevel="0" collapsed="false">
      <c r="A136" s="2" t="s">
        <v>118</v>
      </c>
      <c r="C136" s="22" t="n">
        <f aca="false">IF(AND(C$123-$S136+1-$B$22&gt;=1,C$123-$S136+1-$B$22&lt;=8),INDEX($C$27:$J$27,1,C$123-$S136+1-$B$22),0)*$U136*C$124</f>
        <v>0</v>
      </c>
      <c r="D136" s="22" t="n">
        <f aca="false">IF(AND(D$123-$S136+1-$B$22&gt;=1,D$123-$S136+1-$B$22&lt;=8),INDEX($C$27:$J$27,1,D$123-$S136+1-$B$22),0)*$U136*D$124</f>
        <v>0</v>
      </c>
      <c r="E136" s="22" t="n">
        <f aca="false">IF(AND(E$123-$S136+1-$B$22&gt;=1,E$123-$S136+1-$B$22&lt;=8),INDEX($C$27:$J$27,1,E$123-$S136+1-$B$22),0)*$U136*E$124</f>
        <v>0</v>
      </c>
      <c r="F136" s="22" t="n">
        <f aca="false">IF(AND(F$123-$S136+1-$B$22&gt;=1,F$123-$S136+1-$B$22&lt;=8),INDEX($C$27:$J$27,1,F$123-$S136+1-$B$22),0)*$U136*F$124</f>
        <v>0</v>
      </c>
      <c r="G136" s="22" t="n">
        <f aca="false">IF(AND(G$123-$S136+1-$B$22&gt;=1,G$123-$S136+1-$B$22&lt;=8),INDEX($C$27:$J$27,1,G$123-$S136+1-$B$22),0)*$U136*G$124</f>
        <v>0</v>
      </c>
      <c r="H136" s="22" t="n">
        <f aca="false">IF(AND(H$123-$S136+1-$B$22&gt;=1,H$123-$S136+1-$B$22&lt;=8),INDEX($C$27:$J$27,1,H$123-$S136+1-$B$22),0)*$U136*H$124</f>
        <v>0</v>
      </c>
      <c r="I136" s="22" t="n">
        <f aca="false">IF(AND(I$123-$S136+1-$B$22&gt;=1,I$123-$S136+1-$B$22&lt;=8),INDEX($C$27:$J$27,1,I$123-$S136+1-$B$22),0)*$U136*I$124</f>
        <v>0</v>
      </c>
      <c r="J136" s="22" t="n">
        <f aca="false">IF(AND(J$123-$S136+1-$B$22&gt;=1,J$123-$S136+1-$B$22&lt;=8),INDEX($C$27:$J$27,1,J$123-$S136+1-$B$22),0)*$U136*J$124</f>
        <v>0</v>
      </c>
      <c r="K136" s="22" t="n">
        <f aca="false">IF(AND(K$123-$S136+1-$B$22&gt;=1,K$123-$S136+1-$B$22&lt;=8),INDEX($C$27:$J$27,1,K$123-$S136+1-$B$22),0)*$U136*K$124</f>
        <v>0</v>
      </c>
      <c r="L136" s="22" t="n">
        <f aca="false">IF(AND(L$123-$S136+1-$B$22&gt;=1,L$123-$S136+1-$B$22&lt;=8),INDEX($C$27:$J$27,1,L$123-$S136+1-$B$22),0)*$U136*L$124</f>
        <v>0</v>
      </c>
      <c r="M136" s="22" t="n">
        <f aca="false">IF(AND(M$123-$S136+1-$B$22&gt;=1,M$123-$S136+1-$B$22&lt;=8),INDEX($C$27:$J$27,1,M$123-$S136+1-$B$22),0)*$U136*M$124</f>
        <v>0</v>
      </c>
      <c r="N136" s="22" t="n">
        <f aca="false">IF(AND(N$123-$S136+1-$B$22&gt;=1,N$123-$S136+1-$B$22&lt;=8),INDEX($C$27:$J$27,1,N$123-$S136+1-$B$22),0)*$U136*N$124</f>
        <v>0</v>
      </c>
      <c r="O136" s="22" t="n">
        <f aca="false">IF(AND(O$123-$S136+1-$B$22&gt;=1,O$123-$S136+1-$B$22&lt;=8),INDEX($C$27:$J$27,1,O$123-$S136+1-$B$22),0)*$U136*O$124</f>
        <v>0</v>
      </c>
      <c r="P136" s="22" t="n">
        <f aca="false">IF(AND(P$123-$S136+1-$B$22&gt;=1,P$123-$S136+1-$B$22&lt;=8),INDEX($C$27:$J$27,1,P$123-$S136+1-$B$22),0)*$U136*P$124</f>
        <v>0</v>
      </c>
      <c r="Q136" s="22" t="n">
        <f aca="false">IF(AND(Q$123-$S136+1-$B$22&gt;=1,Q$123-$S136+1-$B$22&lt;=8),INDEX($C$27:$J$27,1,Q$123-$S136+1-$B$22),0)*$U136*Q$124</f>
        <v>0</v>
      </c>
      <c r="S136" s="23" t="n">
        <f aca="false">$B$20+4</f>
        <v>2031</v>
      </c>
      <c r="T136" s="22" t="n">
        <f aca="false">IF($S136&gt;$B$20+Scenarios!$E$8-1,0,$B$19*(1+$B$21*Scenarios!$E$7)^4)</f>
        <v>0</v>
      </c>
      <c r="U136" s="24" t="n">
        <f aca="false">IFERROR($T136/INDEX($C$124:$Q$124,1,MATCH($S136,$C$123:$Q$123,0)),0)</f>
        <v>0</v>
      </c>
      <c r="V136" s="24" t="n">
        <f aca="false">SUMPRODUCT(($C$25:$J$25&lt;=$Q$123-$S136+1-$B$22)*$C$27:$J$27)*$U136</f>
        <v>0</v>
      </c>
      <c r="W136" s="24" t="n">
        <f aca="false">$U136-$V136</f>
        <v>0</v>
      </c>
    </row>
    <row r="137" customFormat="false" ht="15" hidden="false" customHeight="false" outlineLevel="0" collapsed="false">
      <c r="A137" s="2" t="s">
        <v>119</v>
      </c>
      <c r="C137" s="22" t="n">
        <f aca="false">IF(AND(C$123-$S137+1-$B$22&gt;=1,C$123-$S137+1-$B$22&lt;=8),INDEX($C$27:$J$27,1,C$123-$S137+1-$B$22),0)*$U137*C$124</f>
        <v>0</v>
      </c>
      <c r="D137" s="22" t="n">
        <f aca="false">IF(AND(D$123-$S137+1-$B$22&gt;=1,D$123-$S137+1-$B$22&lt;=8),INDEX($C$27:$J$27,1,D$123-$S137+1-$B$22),0)*$U137*D$124</f>
        <v>0</v>
      </c>
      <c r="E137" s="22" t="n">
        <f aca="false">IF(AND(E$123-$S137+1-$B$22&gt;=1,E$123-$S137+1-$B$22&lt;=8),INDEX($C$27:$J$27,1,E$123-$S137+1-$B$22),0)*$U137*E$124</f>
        <v>0</v>
      </c>
      <c r="F137" s="22" t="n">
        <f aca="false">IF(AND(F$123-$S137+1-$B$22&gt;=1,F$123-$S137+1-$B$22&lt;=8),INDEX($C$27:$J$27,1,F$123-$S137+1-$B$22),0)*$U137*F$124</f>
        <v>0</v>
      </c>
      <c r="G137" s="22" t="n">
        <f aca="false">IF(AND(G$123-$S137+1-$B$22&gt;=1,G$123-$S137+1-$B$22&lt;=8),INDEX($C$27:$J$27,1,G$123-$S137+1-$B$22),0)*$U137*G$124</f>
        <v>0</v>
      </c>
      <c r="H137" s="22" t="n">
        <f aca="false">IF(AND(H$123-$S137+1-$B$22&gt;=1,H$123-$S137+1-$B$22&lt;=8),INDEX($C$27:$J$27,1,H$123-$S137+1-$B$22),0)*$U137*H$124</f>
        <v>0</v>
      </c>
      <c r="I137" s="22" t="n">
        <f aca="false">IF(AND(I$123-$S137+1-$B$22&gt;=1,I$123-$S137+1-$B$22&lt;=8),INDEX($C$27:$J$27,1,I$123-$S137+1-$B$22),0)*$U137*I$124</f>
        <v>0</v>
      </c>
      <c r="J137" s="22" t="n">
        <f aca="false">IF(AND(J$123-$S137+1-$B$22&gt;=1,J$123-$S137+1-$B$22&lt;=8),INDEX($C$27:$J$27,1,J$123-$S137+1-$B$22),0)*$U137*J$124</f>
        <v>0</v>
      </c>
      <c r="K137" s="22" t="n">
        <f aca="false">IF(AND(K$123-$S137+1-$B$22&gt;=1,K$123-$S137+1-$B$22&lt;=8),INDEX($C$27:$J$27,1,K$123-$S137+1-$B$22),0)*$U137*K$124</f>
        <v>0</v>
      </c>
      <c r="L137" s="22" t="n">
        <f aca="false">IF(AND(L$123-$S137+1-$B$22&gt;=1,L$123-$S137+1-$B$22&lt;=8),INDEX($C$27:$J$27,1,L$123-$S137+1-$B$22),0)*$U137*L$124</f>
        <v>0</v>
      </c>
      <c r="M137" s="22" t="n">
        <f aca="false">IF(AND(M$123-$S137+1-$B$22&gt;=1,M$123-$S137+1-$B$22&lt;=8),INDEX($C$27:$J$27,1,M$123-$S137+1-$B$22),0)*$U137*M$124</f>
        <v>0</v>
      </c>
      <c r="N137" s="22" t="n">
        <f aca="false">IF(AND(N$123-$S137+1-$B$22&gt;=1,N$123-$S137+1-$B$22&lt;=8),INDEX($C$27:$J$27,1,N$123-$S137+1-$B$22),0)*$U137*N$124</f>
        <v>0</v>
      </c>
      <c r="O137" s="22" t="n">
        <f aca="false">IF(AND(O$123-$S137+1-$B$22&gt;=1,O$123-$S137+1-$B$22&lt;=8),INDEX($C$27:$J$27,1,O$123-$S137+1-$B$22),0)*$U137*O$124</f>
        <v>0</v>
      </c>
      <c r="P137" s="22" t="n">
        <f aca="false">IF(AND(P$123-$S137+1-$B$22&gt;=1,P$123-$S137+1-$B$22&lt;=8),INDEX($C$27:$J$27,1,P$123-$S137+1-$B$22),0)*$U137*P$124</f>
        <v>0</v>
      </c>
      <c r="Q137" s="22" t="n">
        <f aca="false">IF(AND(Q$123-$S137+1-$B$22&gt;=1,Q$123-$S137+1-$B$22&lt;=8),INDEX($C$27:$J$27,1,Q$123-$S137+1-$B$22),0)*$U137*Q$124</f>
        <v>0</v>
      </c>
      <c r="S137" s="23" t="n">
        <f aca="false">$B$20+5</f>
        <v>2032</v>
      </c>
      <c r="T137" s="22" t="n">
        <f aca="false">IF($S137&gt;$B$20+Scenarios!$E$8-1,0,$B$19*(1+$B$21*Scenarios!$E$7)^5)</f>
        <v>0</v>
      </c>
      <c r="U137" s="24" t="n">
        <f aca="false">IFERROR($T137/INDEX($C$124:$Q$124,1,MATCH($S137,$C$123:$Q$123,0)),0)</f>
        <v>0</v>
      </c>
      <c r="V137" s="24" t="n">
        <f aca="false">SUMPRODUCT(($C$25:$J$25&lt;=$Q$123-$S137+1-$B$22)*$C$27:$J$27)*$U137</f>
        <v>0</v>
      </c>
      <c r="W137" s="24" t="n">
        <f aca="false">$U137-$V137</f>
        <v>0</v>
      </c>
    </row>
    <row r="138" customFormat="false" ht="15" hidden="false" customHeight="false" outlineLevel="0" collapsed="false">
      <c r="A138" s="2" t="s">
        <v>120</v>
      </c>
      <c r="C138" s="22" t="n">
        <f aca="false">IF(AND(C$123-$S138+1-$B$22&gt;=1,C$123-$S138+1-$B$22&lt;=8),INDEX($C$27:$J$27,1,C$123-$S138+1-$B$22),0)*$U138*C$124</f>
        <v>0</v>
      </c>
      <c r="D138" s="22" t="n">
        <f aca="false">IF(AND(D$123-$S138+1-$B$22&gt;=1,D$123-$S138+1-$B$22&lt;=8),INDEX($C$27:$J$27,1,D$123-$S138+1-$B$22),0)*$U138*D$124</f>
        <v>0</v>
      </c>
      <c r="E138" s="22" t="n">
        <f aca="false">IF(AND(E$123-$S138+1-$B$22&gt;=1,E$123-$S138+1-$B$22&lt;=8),INDEX($C$27:$J$27,1,E$123-$S138+1-$B$22),0)*$U138*E$124</f>
        <v>0</v>
      </c>
      <c r="F138" s="22" t="n">
        <f aca="false">IF(AND(F$123-$S138+1-$B$22&gt;=1,F$123-$S138+1-$B$22&lt;=8),INDEX($C$27:$J$27,1,F$123-$S138+1-$B$22),0)*$U138*F$124</f>
        <v>0</v>
      </c>
      <c r="G138" s="22" t="n">
        <f aca="false">IF(AND(G$123-$S138+1-$B$22&gt;=1,G$123-$S138+1-$B$22&lt;=8),INDEX($C$27:$J$27,1,G$123-$S138+1-$B$22),0)*$U138*G$124</f>
        <v>0</v>
      </c>
      <c r="H138" s="22" t="n">
        <f aca="false">IF(AND(H$123-$S138+1-$B$22&gt;=1,H$123-$S138+1-$B$22&lt;=8),INDEX($C$27:$J$27,1,H$123-$S138+1-$B$22),0)*$U138*H$124</f>
        <v>0</v>
      </c>
      <c r="I138" s="22" t="n">
        <f aca="false">IF(AND(I$123-$S138+1-$B$22&gt;=1,I$123-$S138+1-$B$22&lt;=8),INDEX($C$27:$J$27,1,I$123-$S138+1-$B$22),0)*$U138*I$124</f>
        <v>0</v>
      </c>
      <c r="J138" s="22" t="n">
        <f aca="false">IF(AND(J$123-$S138+1-$B$22&gt;=1,J$123-$S138+1-$B$22&lt;=8),INDEX($C$27:$J$27,1,J$123-$S138+1-$B$22),0)*$U138*J$124</f>
        <v>0</v>
      </c>
      <c r="K138" s="22" t="n">
        <f aca="false">IF(AND(K$123-$S138+1-$B$22&gt;=1,K$123-$S138+1-$B$22&lt;=8),INDEX($C$27:$J$27,1,K$123-$S138+1-$B$22),0)*$U138*K$124</f>
        <v>0</v>
      </c>
      <c r="L138" s="22" t="n">
        <f aca="false">IF(AND(L$123-$S138+1-$B$22&gt;=1,L$123-$S138+1-$B$22&lt;=8),INDEX($C$27:$J$27,1,L$123-$S138+1-$B$22),0)*$U138*L$124</f>
        <v>0</v>
      </c>
      <c r="M138" s="22" t="n">
        <f aca="false">IF(AND(M$123-$S138+1-$B$22&gt;=1,M$123-$S138+1-$B$22&lt;=8),INDEX($C$27:$J$27,1,M$123-$S138+1-$B$22),0)*$U138*M$124</f>
        <v>0</v>
      </c>
      <c r="N138" s="22" t="n">
        <f aca="false">IF(AND(N$123-$S138+1-$B$22&gt;=1,N$123-$S138+1-$B$22&lt;=8),INDEX($C$27:$J$27,1,N$123-$S138+1-$B$22),0)*$U138*N$124</f>
        <v>0</v>
      </c>
      <c r="O138" s="22" t="n">
        <f aca="false">IF(AND(O$123-$S138+1-$B$22&gt;=1,O$123-$S138+1-$B$22&lt;=8),INDEX($C$27:$J$27,1,O$123-$S138+1-$B$22),0)*$U138*O$124</f>
        <v>0</v>
      </c>
      <c r="P138" s="22" t="n">
        <f aca="false">IF(AND(P$123-$S138+1-$B$22&gt;=1,P$123-$S138+1-$B$22&lt;=8),INDEX($C$27:$J$27,1,P$123-$S138+1-$B$22),0)*$U138*P$124</f>
        <v>0</v>
      </c>
      <c r="Q138" s="22" t="n">
        <f aca="false">IF(AND(Q$123-$S138+1-$B$22&gt;=1,Q$123-$S138+1-$B$22&lt;=8),INDEX($C$27:$J$27,1,Q$123-$S138+1-$B$22),0)*$U138*Q$124</f>
        <v>0</v>
      </c>
      <c r="S138" s="23" t="n">
        <f aca="false">$B$20+6</f>
        <v>2033</v>
      </c>
      <c r="T138" s="22" t="n">
        <f aca="false">IF($S138&gt;$B$20+Scenarios!$E$8-1,0,$B$19*(1+$B$21*Scenarios!$E$7)^6)</f>
        <v>0</v>
      </c>
      <c r="U138" s="24" t="n">
        <f aca="false">IFERROR($T138/INDEX($C$124:$Q$124,1,MATCH($S138,$C$123:$Q$123,0)),0)</f>
        <v>0</v>
      </c>
      <c r="V138" s="24" t="n">
        <f aca="false">SUMPRODUCT(($C$25:$J$25&lt;=$Q$123-$S138+1-$B$22)*$C$27:$J$27)*$U138</f>
        <v>0</v>
      </c>
      <c r="W138" s="24" t="n">
        <f aca="false">$U138-$V138</f>
        <v>0</v>
      </c>
    </row>
    <row r="139" customFormat="false" ht="15" hidden="false" customHeight="false" outlineLevel="0" collapsed="false">
      <c r="A139" s="2" t="s">
        <v>121</v>
      </c>
      <c r="C139" s="22" t="n">
        <f aca="false">IF(AND(C$123-$S139+1-$B$22&gt;=1,C$123-$S139+1-$B$22&lt;=8),INDEX($C$27:$J$27,1,C$123-$S139+1-$B$22),0)*$U139*C$124</f>
        <v>0</v>
      </c>
      <c r="D139" s="22" t="n">
        <f aca="false">IF(AND(D$123-$S139+1-$B$22&gt;=1,D$123-$S139+1-$B$22&lt;=8),INDEX($C$27:$J$27,1,D$123-$S139+1-$B$22),0)*$U139*D$124</f>
        <v>0</v>
      </c>
      <c r="E139" s="22" t="n">
        <f aca="false">IF(AND(E$123-$S139+1-$B$22&gt;=1,E$123-$S139+1-$B$22&lt;=8),INDEX($C$27:$J$27,1,E$123-$S139+1-$B$22),0)*$U139*E$124</f>
        <v>0</v>
      </c>
      <c r="F139" s="22" t="n">
        <f aca="false">IF(AND(F$123-$S139+1-$B$22&gt;=1,F$123-$S139+1-$B$22&lt;=8),INDEX($C$27:$J$27,1,F$123-$S139+1-$B$22),0)*$U139*F$124</f>
        <v>0</v>
      </c>
      <c r="G139" s="22" t="n">
        <f aca="false">IF(AND(G$123-$S139+1-$B$22&gt;=1,G$123-$S139+1-$B$22&lt;=8),INDEX($C$27:$J$27,1,G$123-$S139+1-$B$22),0)*$U139*G$124</f>
        <v>0</v>
      </c>
      <c r="H139" s="22" t="n">
        <f aca="false">IF(AND(H$123-$S139+1-$B$22&gt;=1,H$123-$S139+1-$B$22&lt;=8),INDEX($C$27:$J$27,1,H$123-$S139+1-$B$22),0)*$U139*H$124</f>
        <v>0</v>
      </c>
      <c r="I139" s="22" t="n">
        <f aca="false">IF(AND(I$123-$S139+1-$B$22&gt;=1,I$123-$S139+1-$B$22&lt;=8),INDEX($C$27:$J$27,1,I$123-$S139+1-$B$22),0)*$U139*I$124</f>
        <v>0</v>
      </c>
      <c r="J139" s="22" t="n">
        <f aca="false">IF(AND(J$123-$S139+1-$B$22&gt;=1,J$123-$S139+1-$B$22&lt;=8),INDEX($C$27:$J$27,1,J$123-$S139+1-$B$22),0)*$U139*J$124</f>
        <v>0</v>
      </c>
      <c r="K139" s="22" t="n">
        <f aca="false">IF(AND(K$123-$S139+1-$B$22&gt;=1,K$123-$S139+1-$B$22&lt;=8),INDEX($C$27:$J$27,1,K$123-$S139+1-$B$22),0)*$U139*K$124</f>
        <v>0</v>
      </c>
      <c r="L139" s="22" t="n">
        <f aca="false">IF(AND(L$123-$S139+1-$B$22&gt;=1,L$123-$S139+1-$B$22&lt;=8),INDEX($C$27:$J$27,1,L$123-$S139+1-$B$22),0)*$U139*L$124</f>
        <v>0</v>
      </c>
      <c r="M139" s="22" t="n">
        <f aca="false">IF(AND(M$123-$S139+1-$B$22&gt;=1,M$123-$S139+1-$B$22&lt;=8),INDEX($C$27:$J$27,1,M$123-$S139+1-$B$22),0)*$U139*M$124</f>
        <v>0</v>
      </c>
      <c r="N139" s="22" t="n">
        <f aca="false">IF(AND(N$123-$S139+1-$B$22&gt;=1,N$123-$S139+1-$B$22&lt;=8),INDEX($C$27:$J$27,1,N$123-$S139+1-$B$22),0)*$U139*N$124</f>
        <v>0</v>
      </c>
      <c r="O139" s="22" t="n">
        <f aca="false">IF(AND(O$123-$S139+1-$B$22&gt;=1,O$123-$S139+1-$B$22&lt;=8),INDEX($C$27:$J$27,1,O$123-$S139+1-$B$22),0)*$U139*O$124</f>
        <v>0</v>
      </c>
      <c r="P139" s="22" t="n">
        <f aca="false">IF(AND(P$123-$S139+1-$B$22&gt;=1,P$123-$S139+1-$B$22&lt;=8),INDEX($C$27:$J$27,1,P$123-$S139+1-$B$22),0)*$U139*P$124</f>
        <v>0</v>
      </c>
      <c r="Q139" s="22" t="n">
        <f aca="false">IF(AND(Q$123-$S139+1-$B$22&gt;=1,Q$123-$S139+1-$B$22&lt;=8),INDEX($C$27:$J$27,1,Q$123-$S139+1-$B$22),0)*$U139*Q$124</f>
        <v>0</v>
      </c>
      <c r="S139" s="23" t="n">
        <f aca="false">$B$20+7</f>
        <v>2034</v>
      </c>
      <c r="T139" s="22" t="n">
        <f aca="false">IF($S139&gt;$B$20+Scenarios!$E$8-1,0,$B$19*(1+$B$21*Scenarios!$E$7)^7)</f>
        <v>0</v>
      </c>
      <c r="U139" s="24" t="n">
        <f aca="false">IFERROR($T139/INDEX($C$124:$Q$124,1,MATCH($S139,$C$123:$Q$123,0)),0)</f>
        <v>0</v>
      </c>
      <c r="V139" s="24" t="n">
        <f aca="false">SUMPRODUCT(($C$25:$J$25&lt;=$Q$123-$S139+1-$B$22)*$C$27:$J$27)*$U139</f>
        <v>0</v>
      </c>
      <c r="W139" s="24" t="n">
        <f aca="false">$U139-$V139</f>
        <v>0</v>
      </c>
    </row>
    <row r="140" customFormat="false" ht="15" hidden="false" customHeight="false" outlineLevel="0" collapsed="false">
      <c r="A140" s="2" t="s">
        <v>122</v>
      </c>
      <c r="C140" s="22" t="n">
        <f aca="false">IF(AND(C$123-$S140+1-$B$22&gt;=1,C$123-$S140+1-$B$22&lt;=8),INDEX($C$27:$J$27,1,C$123-$S140+1-$B$22),0)*$U140*C$124</f>
        <v>0</v>
      </c>
      <c r="D140" s="22" t="n">
        <f aca="false">IF(AND(D$123-$S140+1-$B$22&gt;=1,D$123-$S140+1-$B$22&lt;=8),INDEX($C$27:$J$27,1,D$123-$S140+1-$B$22),0)*$U140*D$124</f>
        <v>0</v>
      </c>
      <c r="E140" s="22" t="n">
        <f aca="false">IF(AND(E$123-$S140+1-$B$22&gt;=1,E$123-$S140+1-$B$22&lt;=8),INDEX($C$27:$J$27,1,E$123-$S140+1-$B$22),0)*$U140*E$124</f>
        <v>0</v>
      </c>
      <c r="F140" s="22" t="n">
        <f aca="false">IF(AND(F$123-$S140+1-$B$22&gt;=1,F$123-$S140+1-$B$22&lt;=8),INDEX($C$27:$J$27,1,F$123-$S140+1-$B$22),0)*$U140*F$124</f>
        <v>0</v>
      </c>
      <c r="G140" s="22" t="n">
        <f aca="false">IF(AND(G$123-$S140+1-$B$22&gt;=1,G$123-$S140+1-$B$22&lt;=8),INDEX($C$27:$J$27,1,G$123-$S140+1-$B$22),0)*$U140*G$124</f>
        <v>0</v>
      </c>
      <c r="H140" s="22" t="n">
        <f aca="false">IF(AND(H$123-$S140+1-$B$22&gt;=1,H$123-$S140+1-$B$22&lt;=8),INDEX($C$27:$J$27,1,H$123-$S140+1-$B$22),0)*$U140*H$124</f>
        <v>0</v>
      </c>
      <c r="I140" s="22" t="n">
        <f aca="false">IF(AND(I$123-$S140+1-$B$22&gt;=1,I$123-$S140+1-$B$22&lt;=8),INDEX($C$27:$J$27,1,I$123-$S140+1-$B$22),0)*$U140*I$124</f>
        <v>0</v>
      </c>
      <c r="J140" s="22" t="n">
        <f aca="false">IF(AND(J$123-$S140+1-$B$22&gt;=1,J$123-$S140+1-$B$22&lt;=8),INDEX($C$27:$J$27,1,J$123-$S140+1-$B$22),0)*$U140*J$124</f>
        <v>0</v>
      </c>
      <c r="K140" s="22" t="n">
        <f aca="false">IF(AND(K$123-$S140+1-$B$22&gt;=1,K$123-$S140+1-$B$22&lt;=8),INDEX($C$27:$J$27,1,K$123-$S140+1-$B$22),0)*$U140*K$124</f>
        <v>0</v>
      </c>
      <c r="L140" s="22" t="n">
        <f aca="false">IF(AND(L$123-$S140+1-$B$22&gt;=1,L$123-$S140+1-$B$22&lt;=8),INDEX($C$27:$J$27,1,L$123-$S140+1-$B$22),0)*$U140*L$124</f>
        <v>0</v>
      </c>
      <c r="M140" s="22" t="n">
        <f aca="false">IF(AND(M$123-$S140+1-$B$22&gt;=1,M$123-$S140+1-$B$22&lt;=8),INDEX($C$27:$J$27,1,M$123-$S140+1-$B$22),0)*$U140*M$124</f>
        <v>0</v>
      </c>
      <c r="N140" s="22" t="n">
        <f aca="false">IF(AND(N$123-$S140+1-$B$22&gt;=1,N$123-$S140+1-$B$22&lt;=8),INDEX($C$27:$J$27,1,N$123-$S140+1-$B$22),0)*$U140*N$124</f>
        <v>0</v>
      </c>
      <c r="O140" s="22" t="n">
        <f aca="false">IF(AND(O$123-$S140+1-$B$22&gt;=1,O$123-$S140+1-$B$22&lt;=8),INDEX($C$27:$J$27,1,O$123-$S140+1-$B$22),0)*$U140*O$124</f>
        <v>0</v>
      </c>
      <c r="P140" s="22" t="n">
        <f aca="false">IF(AND(P$123-$S140+1-$B$22&gt;=1,P$123-$S140+1-$B$22&lt;=8),INDEX($C$27:$J$27,1,P$123-$S140+1-$B$22),0)*$U140*P$124</f>
        <v>0</v>
      </c>
      <c r="Q140" s="22" t="n">
        <f aca="false">IF(AND(Q$123-$S140+1-$B$22&gt;=1,Q$123-$S140+1-$B$22&lt;=8),INDEX($C$27:$J$27,1,Q$123-$S140+1-$B$22),0)*$U140*Q$124</f>
        <v>0</v>
      </c>
      <c r="S140" s="23" t="n">
        <f aca="false">$B$20+8</f>
        <v>2035</v>
      </c>
      <c r="T140" s="22" t="n">
        <f aca="false">IF($S140&gt;$B$20+Scenarios!$E$8-1,0,$B$19*(1+$B$21*Scenarios!$E$7)^8)</f>
        <v>0</v>
      </c>
      <c r="U140" s="24" t="n">
        <f aca="false">IFERROR($T140/INDEX($C$124:$Q$124,1,MATCH($S140,$C$123:$Q$123,0)),0)</f>
        <v>0</v>
      </c>
      <c r="V140" s="24" t="n">
        <f aca="false">SUMPRODUCT(($C$25:$J$25&lt;=$Q$123-$S140+1-$B$22)*$C$27:$J$27)*$U140</f>
        <v>0</v>
      </c>
      <c r="W140" s="24" t="n">
        <f aca="false">$U140-$V140</f>
        <v>0</v>
      </c>
    </row>
    <row r="141" customFormat="false" ht="15" hidden="false" customHeight="false" outlineLevel="0" collapsed="false">
      <c r="A141" s="2" t="s">
        <v>123</v>
      </c>
      <c r="C141" s="22" t="n">
        <f aca="false">IF(AND(C$123-$S141+1-$B$22&gt;=1,C$123-$S141+1-$B$22&lt;=8),INDEX($C$27:$J$27,1,C$123-$S141+1-$B$22),0)*$U141*C$124</f>
        <v>0</v>
      </c>
      <c r="D141" s="22" t="n">
        <f aca="false">IF(AND(D$123-$S141+1-$B$22&gt;=1,D$123-$S141+1-$B$22&lt;=8),INDEX($C$27:$J$27,1,D$123-$S141+1-$B$22),0)*$U141*D$124</f>
        <v>0</v>
      </c>
      <c r="E141" s="22" t="n">
        <f aca="false">IF(AND(E$123-$S141+1-$B$22&gt;=1,E$123-$S141+1-$B$22&lt;=8),INDEX($C$27:$J$27,1,E$123-$S141+1-$B$22),0)*$U141*E$124</f>
        <v>0</v>
      </c>
      <c r="F141" s="22" t="n">
        <f aca="false">IF(AND(F$123-$S141+1-$B$22&gt;=1,F$123-$S141+1-$B$22&lt;=8),INDEX($C$27:$J$27,1,F$123-$S141+1-$B$22),0)*$U141*F$124</f>
        <v>0</v>
      </c>
      <c r="G141" s="22" t="n">
        <f aca="false">IF(AND(G$123-$S141+1-$B$22&gt;=1,G$123-$S141+1-$B$22&lt;=8),INDEX($C$27:$J$27,1,G$123-$S141+1-$B$22),0)*$U141*G$124</f>
        <v>0</v>
      </c>
      <c r="H141" s="22" t="n">
        <f aca="false">IF(AND(H$123-$S141+1-$B$22&gt;=1,H$123-$S141+1-$B$22&lt;=8),INDEX($C$27:$J$27,1,H$123-$S141+1-$B$22),0)*$U141*H$124</f>
        <v>0</v>
      </c>
      <c r="I141" s="22" t="n">
        <f aca="false">IF(AND(I$123-$S141+1-$B$22&gt;=1,I$123-$S141+1-$B$22&lt;=8),INDEX($C$27:$J$27,1,I$123-$S141+1-$B$22),0)*$U141*I$124</f>
        <v>0</v>
      </c>
      <c r="J141" s="22" t="n">
        <f aca="false">IF(AND(J$123-$S141+1-$B$22&gt;=1,J$123-$S141+1-$B$22&lt;=8),INDEX($C$27:$J$27,1,J$123-$S141+1-$B$22),0)*$U141*J$124</f>
        <v>0</v>
      </c>
      <c r="K141" s="22" t="n">
        <f aca="false">IF(AND(K$123-$S141+1-$B$22&gt;=1,K$123-$S141+1-$B$22&lt;=8),INDEX($C$27:$J$27,1,K$123-$S141+1-$B$22),0)*$U141*K$124</f>
        <v>0</v>
      </c>
      <c r="L141" s="22" t="n">
        <f aca="false">IF(AND(L$123-$S141+1-$B$22&gt;=1,L$123-$S141+1-$B$22&lt;=8),INDEX($C$27:$J$27,1,L$123-$S141+1-$B$22),0)*$U141*L$124</f>
        <v>0</v>
      </c>
      <c r="M141" s="22" t="n">
        <f aca="false">IF(AND(M$123-$S141+1-$B$22&gt;=1,M$123-$S141+1-$B$22&lt;=8),INDEX($C$27:$J$27,1,M$123-$S141+1-$B$22),0)*$U141*M$124</f>
        <v>0</v>
      </c>
      <c r="N141" s="22" t="n">
        <f aca="false">IF(AND(N$123-$S141+1-$B$22&gt;=1,N$123-$S141+1-$B$22&lt;=8),INDEX($C$27:$J$27,1,N$123-$S141+1-$B$22),0)*$U141*N$124</f>
        <v>0</v>
      </c>
      <c r="O141" s="22" t="n">
        <f aca="false">IF(AND(O$123-$S141+1-$B$22&gt;=1,O$123-$S141+1-$B$22&lt;=8),INDEX($C$27:$J$27,1,O$123-$S141+1-$B$22),0)*$U141*O$124</f>
        <v>0</v>
      </c>
      <c r="P141" s="22" t="n">
        <f aca="false">IF(AND(P$123-$S141+1-$B$22&gt;=1,P$123-$S141+1-$B$22&lt;=8),INDEX($C$27:$J$27,1,P$123-$S141+1-$B$22),0)*$U141*P$124</f>
        <v>0</v>
      </c>
      <c r="Q141" s="22" t="n">
        <f aca="false">IF(AND(Q$123-$S141+1-$B$22&gt;=1,Q$123-$S141+1-$B$22&lt;=8),INDEX($C$27:$J$27,1,Q$123-$S141+1-$B$22),0)*$U141*Q$124</f>
        <v>0</v>
      </c>
      <c r="S141" s="23" t="n">
        <f aca="false">$B$20+9</f>
        <v>2036</v>
      </c>
      <c r="T141" s="22" t="n">
        <f aca="false">IF($S141&gt;$B$20+Scenarios!$E$8-1,0,$B$19*(1+$B$21*Scenarios!$E$7)^9)</f>
        <v>0</v>
      </c>
      <c r="U141" s="24" t="n">
        <f aca="false">IFERROR($T141/INDEX($C$124:$Q$124,1,MATCH($S141,$C$123:$Q$123,0)),0)</f>
        <v>0</v>
      </c>
      <c r="V141" s="24" t="n">
        <f aca="false">SUMPRODUCT(($C$25:$J$25&lt;=$Q$123-$S141+1-$B$22)*$C$27:$J$27)*$U141</f>
        <v>0</v>
      </c>
      <c r="W141" s="24" t="n">
        <f aca="false">$U141-$V141</f>
        <v>0</v>
      </c>
    </row>
    <row r="142" customFormat="false" ht="15" hidden="false" customHeight="false" outlineLevel="0" collapsed="false">
      <c r="A142" s="2" t="s">
        <v>124</v>
      </c>
      <c r="C142" s="22" t="n">
        <f aca="false">IF(AND(C$123-$S142+1-$B$22&gt;=1,C$123-$S142+1-$B$22&lt;=8),INDEX($C$27:$J$27,1,C$123-$S142+1-$B$22),0)*$U142*C$124</f>
        <v>0</v>
      </c>
      <c r="D142" s="22" t="n">
        <f aca="false">IF(AND(D$123-$S142+1-$B$22&gt;=1,D$123-$S142+1-$B$22&lt;=8),INDEX($C$27:$J$27,1,D$123-$S142+1-$B$22),0)*$U142*D$124</f>
        <v>0</v>
      </c>
      <c r="E142" s="22" t="n">
        <f aca="false">IF(AND(E$123-$S142+1-$B$22&gt;=1,E$123-$S142+1-$B$22&lt;=8),INDEX($C$27:$J$27,1,E$123-$S142+1-$B$22),0)*$U142*E$124</f>
        <v>0</v>
      </c>
      <c r="F142" s="22" t="n">
        <f aca="false">IF(AND(F$123-$S142+1-$B$22&gt;=1,F$123-$S142+1-$B$22&lt;=8),INDEX($C$27:$J$27,1,F$123-$S142+1-$B$22),0)*$U142*F$124</f>
        <v>0</v>
      </c>
      <c r="G142" s="22" t="n">
        <f aca="false">IF(AND(G$123-$S142+1-$B$22&gt;=1,G$123-$S142+1-$B$22&lt;=8),INDEX($C$27:$J$27,1,G$123-$S142+1-$B$22),0)*$U142*G$124</f>
        <v>0</v>
      </c>
      <c r="H142" s="22" t="n">
        <f aca="false">IF(AND(H$123-$S142+1-$B$22&gt;=1,H$123-$S142+1-$B$22&lt;=8),INDEX($C$27:$J$27,1,H$123-$S142+1-$B$22),0)*$U142*H$124</f>
        <v>0</v>
      </c>
      <c r="I142" s="22" t="n">
        <f aca="false">IF(AND(I$123-$S142+1-$B$22&gt;=1,I$123-$S142+1-$B$22&lt;=8),INDEX($C$27:$J$27,1,I$123-$S142+1-$B$22),0)*$U142*I$124</f>
        <v>0</v>
      </c>
      <c r="J142" s="22" t="n">
        <f aca="false">IF(AND(J$123-$S142+1-$B$22&gt;=1,J$123-$S142+1-$B$22&lt;=8),INDEX($C$27:$J$27,1,J$123-$S142+1-$B$22),0)*$U142*J$124</f>
        <v>0</v>
      </c>
      <c r="K142" s="22" t="n">
        <f aca="false">IF(AND(K$123-$S142+1-$B$22&gt;=1,K$123-$S142+1-$B$22&lt;=8),INDEX($C$27:$J$27,1,K$123-$S142+1-$B$22),0)*$U142*K$124</f>
        <v>0</v>
      </c>
      <c r="L142" s="22" t="n">
        <f aca="false">IF(AND(L$123-$S142+1-$B$22&gt;=1,L$123-$S142+1-$B$22&lt;=8),INDEX($C$27:$J$27,1,L$123-$S142+1-$B$22),0)*$U142*L$124</f>
        <v>0</v>
      </c>
      <c r="M142" s="22" t="n">
        <f aca="false">IF(AND(M$123-$S142+1-$B$22&gt;=1,M$123-$S142+1-$B$22&lt;=8),INDEX($C$27:$J$27,1,M$123-$S142+1-$B$22),0)*$U142*M$124</f>
        <v>0</v>
      </c>
      <c r="N142" s="22" t="n">
        <f aca="false">IF(AND(N$123-$S142+1-$B$22&gt;=1,N$123-$S142+1-$B$22&lt;=8),INDEX($C$27:$J$27,1,N$123-$S142+1-$B$22),0)*$U142*N$124</f>
        <v>0</v>
      </c>
      <c r="O142" s="22" t="n">
        <f aca="false">IF(AND(O$123-$S142+1-$B$22&gt;=1,O$123-$S142+1-$B$22&lt;=8),INDEX($C$27:$J$27,1,O$123-$S142+1-$B$22),0)*$U142*O$124</f>
        <v>0</v>
      </c>
      <c r="P142" s="22" t="n">
        <f aca="false">IF(AND(P$123-$S142+1-$B$22&gt;=1,P$123-$S142+1-$B$22&lt;=8),INDEX($C$27:$J$27,1,P$123-$S142+1-$B$22),0)*$U142*P$124</f>
        <v>0</v>
      </c>
      <c r="Q142" s="22" t="n">
        <f aca="false">IF(AND(Q$123-$S142+1-$B$22&gt;=1,Q$123-$S142+1-$B$22&lt;=8),INDEX($C$27:$J$27,1,Q$123-$S142+1-$B$22),0)*$U142*Q$124</f>
        <v>0</v>
      </c>
      <c r="S142" s="23" t="n">
        <f aca="false">$B$20+10</f>
        <v>2037</v>
      </c>
      <c r="T142" s="22" t="n">
        <f aca="false">IF($S142&gt;$B$20+Scenarios!$E$8-1,0,$B$19*(1+$B$21*Scenarios!$E$7)^10)</f>
        <v>0</v>
      </c>
      <c r="U142" s="24" t="n">
        <f aca="false">IFERROR($T142/INDEX($C$124:$Q$124,1,MATCH($S142,$C$123:$Q$123,0)),0)</f>
        <v>0</v>
      </c>
      <c r="V142" s="24" t="n">
        <f aca="false">SUMPRODUCT(($C$25:$J$25&lt;=$Q$123-$S142+1-$B$22)*$C$27:$J$27)*$U142</f>
        <v>0</v>
      </c>
      <c r="W142" s="24" t="n">
        <f aca="false">$U142-$V142</f>
        <v>0</v>
      </c>
    </row>
    <row r="143" customFormat="false" ht="15" hidden="false" customHeight="false" outlineLevel="0" collapsed="false">
      <c r="A143" s="2" t="s">
        <v>125</v>
      </c>
      <c r="C143" s="22" t="n">
        <f aca="false">IF(AND(C$123-$S143+1-$B$22&gt;=1,C$123-$S143+1-$B$22&lt;=8),INDEX($C$27:$J$27,1,C$123-$S143+1-$B$22),0)*$U143*C$124</f>
        <v>0</v>
      </c>
      <c r="D143" s="22" t="n">
        <f aca="false">IF(AND(D$123-$S143+1-$B$22&gt;=1,D$123-$S143+1-$B$22&lt;=8),INDEX($C$27:$J$27,1,D$123-$S143+1-$B$22),0)*$U143*D$124</f>
        <v>0</v>
      </c>
      <c r="E143" s="22" t="n">
        <f aca="false">IF(AND(E$123-$S143+1-$B$22&gt;=1,E$123-$S143+1-$B$22&lt;=8),INDEX($C$27:$J$27,1,E$123-$S143+1-$B$22),0)*$U143*E$124</f>
        <v>0</v>
      </c>
      <c r="F143" s="22" t="n">
        <f aca="false">IF(AND(F$123-$S143+1-$B$22&gt;=1,F$123-$S143+1-$B$22&lt;=8),INDEX($C$27:$J$27,1,F$123-$S143+1-$B$22),0)*$U143*F$124</f>
        <v>0</v>
      </c>
      <c r="G143" s="22" t="n">
        <f aca="false">IF(AND(G$123-$S143+1-$B$22&gt;=1,G$123-$S143+1-$B$22&lt;=8),INDEX($C$27:$J$27,1,G$123-$S143+1-$B$22),0)*$U143*G$124</f>
        <v>0</v>
      </c>
      <c r="H143" s="22" t="n">
        <f aca="false">IF(AND(H$123-$S143+1-$B$22&gt;=1,H$123-$S143+1-$B$22&lt;=8),INDEX($C$27:$J$27,1,H$123-$S143+1-$B$22),0)*$U143*H$124</f>
        <v>0</v>
      </c>
      <c r="I143" s="22" t="n">
        <f aca="false">IF(AND(I$123-$S143+1-$B$22&gt;=1,I$123-$S143+1-$B$22&lt;=8),INDEX($C$27:$J$27,1,I$123-$S143+1-$B$22),0)*$U143*I$124</f>
        <v>0</v>
      </c>
      <c r="J143" s="22" t="n">
        <f aca="false">IF(AND(J$123-$S143+1-$B$22&gt;=1,J$123-$S143+1-$B$22&lt;=8),INDEX($C$27:$J$27,1,J$123-$S143+1-$B$22),0)*$U143*J$124</f>
        <v>0</v>
      </c>
      <c r="K143" s="22" t="n">
        <f aca="false">IF(AND(K$123-$S143+1-$B$22&gt;=1,K$123-$S143+1-$B$22&lt;=8),INDEX($C$27:$J$27,1,K$123-$S143+1-$B$22),0)*$U143*K$124</f>
        <v>0</v>
      </c>
      <c r="L143" s="22" t="n">
        <f aca="false">IF(AND(L$123-$S143+1-$B$22&gt;=1,L$123-$S143+1-$B$22&lt;=8),INDEX($C$27:$J$27,1,L$123-$S143+1-$B$22),0)*$U143*L$124</f>
        <v>0</v>
      </c>
      <c r="M143" s="22" t="n">
        <f aca="false">IF(AND(M$123-$S143+1-$B$22&gt;=1,M$123-$S143+1-$B$22&lt;=8),INDEX($C$27:$J$27,1,M$123-$S143+1-$B$22),0)*$U143*M$124</f>
        <v>0</v>
      </c>
      <c r="N143" s="22" t="n">
        <f aca="false">IF(AND(N$123-$S143+1-$B$22&gt;=1,N$123-$S143+1-$B$22&lt;=8),INDEX($C$27:$J$27,1,N$123-$S143+1-$B$22),0)*$U143*N$124</f>
        <v>0</v>
      </c>
      <c r="O143" s="22" t="n">
        <f aca="false">IF(AND(O$123-$S143+1-$B$22&gt;=1,O$123-$S143+1-$B$22&lt;=8),INDEX($C$27:$J$27,1,O$123-$S143+1-$B$22),0)*$U143*O$124</f>
        <v>0</v>
      </c>
      <c r="P143" s="22" t="n">
        <f aca="false">IF(AND(P$123-$S143+1-$B$22&gt;=1,P$123-$S143+1-$B$22&lt;=8),INDEX($C$27:$J$27,1,P$123-$S143+1-$B$22),0)*$U143*P$124</f>
        <v>0</v>
      </c>
      <c r="Q143" s="22" t="n">
        <f aca="false">IF(AND(Q$123-$S143+1-$B$22&gt;=1,Q$123-$S143+1-$B$22&lt;=8),INDEX($C$27:$J$27,1,Q$123-$S143+1-$B$22),0)*$U143*Q$124</f>
        <v>0</v>
      </c>
      <c r="S143" s="23" t="n">
        <f aca="false">$B$20+11</f>
        <v>2038</v>
      </c>
      <c r="T143" s="22" t="n">
        <f aca="false">IF($S143&gt;$B$20+Scenarios!$E$8-1,0,$B$19*(1+$B$21*Scenarios!$E$7)^11)</f>
        <v>0</v>
      </c>
      <c r="U143" s="24" t="n">
        <f aca="false">IFERROR($T143/INDEX($C$124:$Q$124,1,MATCH($S143,$C$123:$Q$123,0)),0)</f>
        <v>0</v>
      </c>
      <c r="V143" s="24" t="n">
        <f aca="false">SUMPRODUCT(($C$25:$J$25&lt;=$Q$123-$S143+1-$B$22)*$C$27:$J$27)*$U143</f>
        <v>0</v>
      </c>
      <c r="W143" s="24" t="n">
        <f aca="false">$U143-$V143</f>
        <v>0</v>
      </c>
    </row>
    <row r="145" customFormat="false" ht="15" hidden="false" customHeight="false" outlineLevel="0" collapsed="false">
      <c r="A145" s="2" t="s">
        <v>126</v>
      </c>
      <c r="C145" s="22" t="n">
        <f aca="false">C131</f>
        <v>0</v>
      </c>
      <c r="D145" s="22" t="n">
        <f aca="false">D131</f>
        <v>0</v>
      </c>
      <c r="E145" s="22" t="n">
        <f aca="false">E131</f>
        <v>0</v>
      </c>
      <c r="F145" s="22" t="n">
        <f aca="false">F131</f>
        <v>0</v>
      </c>
      <c r="G145" s="22" t="n">
        <f aca="false">G131</f>
        <v>0</v>
      </c>
      <c r="H145" s="22" t="n">
        <f aca="false">H131</f>
        <v>0</v>
      </c>
      <c r="I145" s="22" t="n">
        <f aca="false">I131</f>
        <v>0</v>
      </c>
      <c r="J145" s="22" t="n">
        <f aca="false">J131</f>
        <v>0</v>
      </c>
      <c r="K145" s="22" t="n">
        <f aca="false">K131</f>
        <v>0</v>
      </c>
      <c r="L145" s="22" t="n">
        <f aca="false">L131</f>
        <v>0</v>
      </c>
      <c r="M145" s="22" t="n">
        <f aca="false">M131</f>
        <v>0</v>
      </c>
      <c r="N145" s="22" t="n">
        <f aca="false">N131</f>
        <v>0</v>
      </c>
      <c r="O145" s="22" t="n">
        <f aca="false">O131</f>
        <v>0</v>
      </c>
      <c r="P145" s="22" t="n">
        <f aca="false">P131</f>
        <v>0</v>
      </c>
      <c r="Q145" s="22" t="n">
        <f aca="false">Q131</f>
        <v>0</v>
      </c>
    </row>
    <row r="146" customFormat="false" ht="15" hidden="false" customHeight="false" outlineLevel="0" collapsed="false">
      <c r="A146" s="2" t="s">
        <v>127</v>
      </c>
      <c r="C146" s="22" t="n">
        <f aca="false">SUM(C132:C143)</f>
        <v>0</v>
      </c>
      <c r="D146" s="22" t="n">
        <f aca="false">SUM(D132:D143)</f>
        <v>0</v>
      </c>
      <c r="E146" s="22" t="n">
        <f aca="false">SUM(E132:E143)</f>
        <v>0</v>
      </c>
      <c r="F146" s="22" t="n">
        <f aca="false">SUM(F132:F143)</f>
        <v>0</v>
      </c>
      <c r="G146" s="22" t="n">
        <f aca="false">SUM(G132:G143)</f>
        <v>0</v>
      </c>
      <c r="H146" s="22" t="n">
        <f aca="false">SUM(H132:H143)</f>
        <v>0</v>
      </c>
      <c r="I146" s="22" t="n">
        <f aca="false">SUM(I132:I143)</f>
        <v>0</v>
      </c>
      <c r="J146" s="22" t="n">
        <f aca="false">SUM(J132:J143)</f>
        <v>0</v>
      </c>
      <c r="K146" s="22" t="n">
        <f aca="false">SUM(K132:K143)</f>
        <v>0</v>
      </c>
      <c r="L146" s="22" t="n">
        <f aca="false">SUM(L132:L143)</f>
        <v>0</v>
      </c>
      <c r="M146" s="22" t="n">
        <f aca="false">SUM(M132:M143)</f>
        <v>0</v>
      </c>
      <c r="N146" s="22" t="n">
        <f aca="false">SUM(N132:N143)</f>
        <v>0</v>
      </c>
      <c r="O146" s="22" t="n">
        <f aca="false">SUM(O132:O143)</f>
        <v>0</v>
      </c>
      <c r="P146" s="22" t="n">
        <f aca="false">SUM(P132:P143)</f>
        <v>0</v>
      </c>
      <c r="Q146" s="22" t="n">
        <f aca="false">SUM(Q132:Q143)</f>
        <v>0</v>
      </c>
    </row>
    <row r="147" customFormat="false" ht="15" hidden="false" customHeight="false" outlineLevel="0" collapsed="false">
      <c r="A147" s="3" t="s">
        <v>128</v>
      </c>
      <c r="C147" s="25" t="n">
        <f aca="false">C145+C146</f>
        <v>0</v>
      </c>
      <c r="D147" s="25" t="n">
        <f aca="false">D145+D146</f>
        <v>0</v>
      </c>
      <c r="E147" s="25" t="n">
        <f aca="false">E145+E146</f>
        <v>0</v>
      </c>
      <c r="F147" s="25" t="n">
        <f aca="false">F145+F146</f>
        <v>0</v>
      </c>
      <c r="G147" s="25" t="n">
        <f aca="false">G145+G146</f>
        <v>0</v>
      </c>
      <c r="H147" s="25" t="n">
        <f aca="false">H145+H146</f>
        <v>0</v>
      </c>
      <c r="I147" s="25" t="n">
        <f aca="false">I145+I146</f>
        <v>0</v>
      </c>
      <c r="J147" s="25" t="n">
        <f aca="false">J145+J146</f>
        <v>0</v>
      </c>
      <c r="K147" s="25" t="n">
        <f aca="false">K145+K146</f>
        <v>0</v>
      </c>
      <c r="L147" s="25" t="n">
        <f aca="false">L145+L146</f>
        <v>0</v>
      </c>
      <c r="M147" s="25" t="n">
        <f aca="false">M145+M146</f>
        <v>0</v>
      </c>
      <c r="N147" s="25" t="n">
        <f aca="false">N145+N146</f>
        <v>0</v>
      </c>
      <c r="O147" s="25" t="n">
        <f aca="false">O145+O146</f>
        <v>0</v>
      </c>
      <c r="P147" s="25" t="n">
        <f aca="false">P145+P146</f>
        <v>0</v>
      </c>
      <c r="Q147" s="25" t="n">
        <f aca="false">Q145+Q146</f>
        <v>0</v>
      </c>
    </row>
    <row r="148" customFormat="false" ht="15" hidden="false" customHeight="false" outlineLevel="0" collapsed="false">
      <c r="A148" s="2" t="s">
        <v>129</v>
      </c>
      <c r="C148" s="23" t="n">
        <f aca="false">SUMPRODUCT((C131:C143&gt;0)*1)</f>
        <v>0</v>
      </c>
      <c r="D148" s="23" t="n">
        <f aca="false">SUMPRODUCT((D131:D143&gt;0)*1)</f>
        <v>0</v>
      </c>
      <c r="E148" s="23" t="n">
        <f aca="false">SUMPRODUCT((E131:E143&gt;0)*1)</f>
        <v>0</v>
      </c>
      <c r="F148" s="23" t="n">
        <f aca="false">SUMPRODUCT((F131:F143&gt;0)*1)</f>
        <v>0</v>
      </c>
      <c r="G148" s="23" t="n">
        <f aca="false">SUMPRODUCT((G131:G143&gt;0)*1)</f>
        <v>0</v>
      </c>
      <c r="H148" s="23" t="n">
        <f aca="false">SUMPRODUCT((H131:H143&gt;0)*1)</f>
        <v>0</v>
      </c>
      <c r="I148" s="23" t="n">
        <f aca="false">SUMPRODUCT((I131:I143&gt;0)*1)</f>
        <v>0</v>
      </c>
      <c r="J148" s="23" t="n">
        <f aca="false">SUMPRODUCT((J131:J143&gt;0)*1)</f>
        <v>0</v>
      </c>
      <c r="K148" s="23" t="n">
        <f aca="false">SUMPRODUCT((K131:K143&gt;0)*1)</f>
        <v>0</v>
      </c>
      <c r="L148" s="23" t="n">
        <f aca="false">SUMPRODUCT((L131:L143&gt;0)*1)</f>
        <v>0</v>
      </c>
      <c r="M148" s="23" t="n">
        <f aca="false">SUMPRODUCT((M131:M143&gt;0)*1)</f>
        <v>0</v>
      </c>
      <c r="N148" s="23" t="n">
        <f aca="false">SUMPRODUCT((N131:N143&gt;0)*1)</f>
        <v>0</v>
      </c>
      <c r="O148" s="23" t="n">
        <f aca="false">SUMPRODUCT((O131:O143&gt;0)*1)</f>
        <v>0</v>
      </c>
      <c r="P148" s="23" t="n">
        <f aca="false">SUMPRODUCT((P131:P143&gt;0)*1)</f>
        <v>0</v>
      </c>
      <c r="Q148" s="23" t="n">
        <f aca="false">SUMPRODUCT((Q131:Q143&gt;0)*1)</f>
        <v>0</v>
      </c>
    </row>
    <row r="150" customFormat="false" ht="15" hidden="false" customHeight="false" outlineLevel="0" collapsed="false">
      <c r="A150" s="3" t="s">
        <v>130</v>
      </c>
      <c r="C150" s="26" t="n">
        <f aca="false">C125+C127+C128+C147</f>
        <v>350625</v>
      </c>
      <c r="D150" s="26" t="n">
        <f aca="false">D125+D127+D128+D147</f>
        <v>366403.125</v>
      </c>
      <c r="E150" s="26" t="n">
        <f aca="false">E125+E127+E128+E147</f>
        <v>382891.265625</v>
      </c>
      <c r="F150" s="26" t="n">
        <f aca="false">F125+F127+F128+F147</f>
        <v>400121.372578125</v>
      </c>
      <c r="G150" s="26" t="n">
        <f aca="false">G125+G127+G128+G147</f>
        <v>418126.834344141</v>
      </c>
      <c r="H150" s="26" t="n">
        <f aca="false">H125+H127+H128+H147</f>
        <v>436942.541889627</v>
      </c>
      <c r="I150" s="26" t="n">
        <f aca="false">I125+I127+I128+I147</f>
        <v>456604.95627466</v>
      </c>
      <c r="J150" s="26" t="n">
        <f aca="false">J125+J127+J128+J147</f>
        <v>477152.17930702</v>
      </c>
      <c r="K150" s="26" t="n">
        <f aca="false">K125+K127+K128+K147</f>
        <v>498624.027375836</v>
      </c>
      <c r="L150" s="26" t="n">
        <f aca="false">L125+L127+L128+L147</f>
        <v>521062.108607748</v>
      </c>
      <c r="M150" s="26" t="n">
        <f aca="false">M125+M127+M128+M147</f>
        <v>544509.903495097</v>
      </c>
      <c r="N150" s="26" t="n">
        <f aca="false">N125+N127+N128+N147</f>
        <v>569012.849152376</v>
      </c>
      <c r="O150" s="26" t="n">
        <f aca="false">O125+O127+O128+O147</f>
        <v>594618.427364233</v>
      </c>
      <c r="P150" s="26" t="n">
        <f aca="false">P125+P127+P128+P147</f>
        <v>621376.256595623</v>
      </c>
      <c r="Q150" s="26" t="n">
        <f aca="false">Q125+Q127+Q128+Q147</f>
        <v>649338.188142426</v>
      </c>
    </row>
    <row r="151" customFormat="false" ht="15" hidden="false" customHeight="false" outlineLevel="0" collapsed="false">
      <c r="A151" s="3" t="s">
        <v>131</v>
      </c>
      <c r="C151" s="25" t="n">
        <f aca="false">C150</f>
        <v>350625</v>
      </c>
      <c r="D151" s="25" t="n">
        <f aca="false">C151+D150</f>
        <v>717028.125</v>
      </c>
      <c r="E151" s="25" t="n">
        <f aca="false">D151+E150</f>
        <v>1099919.390625</v>
      </c>
      <c r="F151" s="25" t="n">
        <f aca="false">E151+F150</f>
        <v>1500040.76320313</v>
      </c>
      <c r="G151" s="25" t="n">
        <f aca="false">F151+G150</f>
        <v>1918167.59754727</v>
      </c>
      <c r="H151" s="25" t="n">
        <f aca="false">G151+H150</f>
        <v>2355110.13943689</v>
      </c>
      <c r="I151" s="25" t="n">
        <f aca="false">H151+I150</f>
        <v>2811715.09571155</v>
      </c>
      <c r="J151" s="25" t="n">
        <f aca="false">I151+J150</f>
        <v>3288867.27501857</v>
      </c>
      <c r="K151" s="25" t="n">
        <f aca="false">J151+K150</f>
        <v>3787491.30239441</v>
      </c>
      <c r="L151" s="25" t="n">
        <f aca="false">K151+L150</f>
        <v>4308553.41100216</v>
      </c>
      <c r="M151" s="25" t="n">
        <f aca="false">L151+M150</f>
        <v>4853063.31449725</v>
      </c>
      <c r="N151" s="25" t="n">
        <f aca="false">M151+N150</f>
        <v>5422076.16364963</v>
      </c>
      <c r="O151" s="25" t="n">
        <f aca="false">N151+O150</f>
        <v>6016694.59101386</v>
      </c>
      <c r="P151" s="25" t="n">
        <f aca="false">O151+P150</f>
        <v>6638070.84760949</v>
      </c>
      <c r="Q151" s="25" t="n">
        <f aca="false">P151+Q150</f>
        <v>7287409.03575191</v>
      </c>
    </row>
    <row r="153" customFormat="false" ht="15" hidden="false" customHeight="false" outlineLevel="0" collapsed="false">
      <c r="A153" s="2" t="s">
        <v>132</v>
      </c>
      <c r="B153" s="24" t="n">
        <f aca="false">SUM(W131:W143)</f>
        <v>0</v>
      </c>
    </row>
    <row r="154" customFormat="false" ht="15" hidden="false" customHeight="false" outlineLevel="0" collapsed="false">
      <c r="A154" s="2" t="s">
        <v>133</v>
      </c>
      <c r="B154" s="22" t="n">
        <f aca="false">B153*$Q$124</f>
        <v>0</v>
      </c>
    </row>
    <row r="160" customFormat="false" ht="17.35" hidden="false" customHeight="false" outlineLevel="0" collapsed="false">
      <c r="A160" s="1" t="s">
        <v>136</v>
      </c>
    </row>
    <row r="161" customFormat="false" ht="15" hidden="false" customHeight="false" outlineLevel="0" collapsed="false">
      <c r="A161" s="3" t="s">
        <v>102</v>
      </c>
      <c r="C161" s="17" t="n">
        <f aca="false">C33</f>
        <v>2026</v>
      </c>
      <c r="D161" s="17" t="n">
        <f aca="false">D33</f>
        <v>2027</v>
      </c>
      <c r="E161" s="17" t="n">
        <f aca="false">E33</f>
        <v>2028</v>
      </c>
      <c r="F161" s="17" t="n">
        <f aca="false">F33</f>
        <v>2029</v>
      </c>
      <c r="G161" s="17" t="n">
        <f aca="false">G33</f>
        <v>2030</v>
      </c>
      <c r="H161" s="17" t="n">
        <f aca="false">H33</f>
        <v>2031</v>
      </c>
      <c r="I161" s="17" t="n">
        <f aca="false">I33</f>
        <v>2032</v>
      </c>
      <c r="J161" s="17" t="n">
        <f aca="false">J33</f>
        <v>2033</v>
      </c>
      <c r="K161" s="17" t="n">
        <f aca="false">K33</f>
        <v>2034</v>
      </c>
      <c r="L161" s="17" t="n">
        <f aca="false">L33</f>
        <v>2035</v>
      </c>
      <c r="M161" s="17" t="n">
        <f aca="false">M33</f>
        <v>2036</v>
      </c>
      <c r="N161" s="17" t="n">
        <f aca="false">N33</f>
        <v>2037</v>
      </c>
      <c r="O161" s="17" t="n">
        <f aca="false">O33</f>
        <v>2038</v>
      </c>
      <c r="P161" s="17" t="n">
        <f aca="false">P33</f>
        <v>2039</v>
      </c>
      <c r="Q161" s="17" t="n">
        <f aca="false">Q33</f>
        <v>2040</v>
      </c>
    </row>
    <row r="162" customFormat="false" ht="15" hidden="false" customHeight="false" outlineLevel="0" collapsed="false">
      <c r="A162" s="2" t="s">
        <v>137</v>
      </c>
      <c r="C162" s="22" t="n">
        <f aca="false">C60</f>
        <v>320375</v>
      </c>
      <c r="D162" s="22" t="n">
        <f aca="false">D60</f>
        <v>325180.625</v>
      </c>
      <c r="E162" s="22" t="n">
        <f aca="false">E60</f>
        <v>330058.334375</v>
      </c>
      <c r="F162" s="22" t="n">
        <f aca="false">F60</f>
        <v>335009.209390625</v>
      </c>
      <c r="G162" s="22" t="n">
        <f aca="false">G60</f>
        <v>340034.347531484</v>
      </c>
      <c r="H162" s="22" t="n">
        <f aca="false">H60</f>
        <v>345134.862744457</v>
      </c>
      <c r="I162" s="22" t="n">
        <f aca="false">I60</f>
        <v>350311.885685623</v>
      </c>
      <c r="J162" s="22" t="n">
        <f aca="false">J60</f>
        <v>355566.563970908</v>
      </c>
      <c r="K162" s="22" t="n">
        <f aca="false">K60</f>
        <v>360900.062430471</v>
      </c>
      <c r="L162" s="22" t="n">
        <f aca="false">L60</f>
        <v>366313.563366928</v>
      </c>
      <c r="M162" s="22" t="n">
        <f aca="false">M60</f>
        <v>371808.266817432</v>
      </c>
      <c r="N162" s="22" t="n">
        <f aca="false">N60</f>
        <v>377385.390819694</v>
      </c>
      <c r="O162" s="22" t="n">
        <f aca="false">O60</f>
        <v>383046.171681989</v>
      </c>
      <c r="P162" s="22" t="n">
        <f aca="false">P60</f>
        <v>388791.864257219</v>
      </c>
      <c r="Q162" s="22" t="n">
        <f aca="false">Q60</f>
        <v>394623.742221077</v>
      </c>
    </row>
    <row r="163" customFormat="false" ht="15" hidden="false" customHeight="false" outlineLevel="0" collapsed="false">
      <c r="A163" s="2" t="s">
        <v>138</v>
      </c>
      <c r="C163" s="22" t="n">
        <f aca="false">C105</f>
        <v>335500</v>
      </c>
      <c r="D163" s="22" t="n">
        <f aca="false">D105</f>
        <v>345565</v>
      </c>
      <c r="E163" s="22" t="n">
        <f aca="false">E105</f>
        <v>355931.95</v>
      </c>
      <c r="F163" s="22" t="n">
        <f aca="false">F105</f>
        <v>366609.9085</v>
      </c>
      <c r="G163" s="22" t="n">
        <f aca="false">G105</f>
        <v>377608.205755</v>
      </c>
      <c r="H163" s="22" t="n">
        <f aca="false">H105</f>
        <v>388936.45192765</v>
      </c>
      <c r="I163" s="22" t="n">
        <f aca="false">I105</f>
        <v>400604.545485479</v>
      </c>
      <c r="J163" s="22" t="n">
        <f aca="false">J105</f>
        <v>412622.681850044</v>
      </c>
      <c r="K163" s="22" t="n">
        <f aca="false">K105</f>
        <v>425001.362305545</v>
      </c>
      <c r="L163" s="22" t="n">
        <f aca="false">L105</f>
        <v>437751.403174712</v>
      </c>
      <c r="M163" s="22" t="n">
        <f aca="false">M105</f>
        <v>450883.945269953</v>
      </c>
      <c r="N163" s="22" t="n">
        <f aca="false">N105</f>
        <v>464410.463628051</v>
      </c>
      <c r="O163" s="22" t="n">
        <f aca="false">O105</f>
        <v>478342.777536893</v>
      </c>
      <c r="P163" s="22" t="n">
        <f aca="false">P105</f>
        <v>492693.060863</v>
      </c>
      <c r="Q163" s="22" t="n">
        <f aca="false">Q105</f>
        <v>507473.85268889</v>
      </c>
    </row>
    <row r="164" customFormat="false" ht="15" hidden="false" customHeight="false" outlineLevel="0" collapsed="false">
      <c r="A164" s="2" t="s">
        <v>139</v>
      </c>
      <c r="C164" s="22" t="n">
        <f aca="false">C150</f>
        <v>350625</v>
      </c>
      <c r="D164" s="22" t="n">
        <f aca="false">D150</f>
        <v>366403.125</v>
      </c>
      <c r="E164" s="22" t="n">
        <f aca="false">E150</f>
        <v>382891.265625</v>
      </c>
      <c r="F164" s="22" t="n">
        <f aca="false">F150</f>
        <v>400121.372578125</v>
      </c>
      <c r="G164" s="22" t="n">
        <f aca="false">G150</f>
        <v>418126.834344141</v>
      </c>
      <c r="H164" s="22" t="n">
        <f aca="false">H150</f>
        <v>436942.541889627</v>
      </c>
      <c r="I164" s="22" t="n">
        <f aca="false">I150</f>
        <v>456604.95627466</v>
      </c>
      <c r="J164" s="22" t="n">
        <f aca="false">J150</f>
        <v>477152.17930702</v>
      </c>
      <c r="K164" s="22" t="n">
        <f aca="false">K150</f>
        <v>498624.027375836</v>
      </c>
      <c r="L164" s="22" t="n">
        <f aca="false">L150</f>
        <v>521062.108607748</v>
      </c>
      <c r="M164" s="22" t="n">
        <f aca="false">M150</f>
        <v>544509.903495097</v>
      </c>
      <c r="N164" s="22" t="n">
        <f aca="false">N150</f>
        <v>569012.849152376</v>
      </c>
      <c r="O164" s="22" t="n">
        <f aca="false">O150</f>
        <v>594618.427364233</v>
      </c>
      <c r="P164" s="22" t="n">
        <f aca="false">P150</f>
        <v>621376.256595623</v>
      </c>
      <c r="Q164" s="22" t="n">
        <f aca="false">Q150</f>
        <v>649338.188142426</v>
      </c>
    </row>
    <row r="166" customFormat="false" ht="15" hidden="false" customHeight="false" outlineLevel="0" collapsed="false">
      <c r="A166" s="2" t="s">
        <v>140</v>
      </c>
      <c r="C166" s="22" t="n">
        <f aca="false">C61</f>
        <v>320375</v>
      </c>
      <c r="D166" s="22" t="n">
        <f aca="false">D61</f>
        <v>645555.625</v>
      </c>
      <c r="E166" s="22" t="n">
        <f aca="false">E61</f>
        <v>975613.959375</v>
      </c>
      <c r="F166" s="22" t="n">
        <f aca="false">F61</f>
        <v>1310623.16876563</v>
      </c>
      <c r="G166" s="22" t="n">
        <f aca="false">G61</f>
        <v>1650657.51629711</v>
      </c>
      <c r="H166" s="22" t="n">
        <f aca="false">H61</f>
        <v>1995792.37904157</v>
      </c>
      <c r="I166" s="22" t="n">
        <f aca="false">I61</f>
        <v>2346104.26472719</v>
      </c>
      <c r="J166" s="22" t="n">
        <f aca="false">J61</f>
        <v>2701670.8286981</v>
      </c>
      <c r="K166" s="22" t="n">
        <f aca="false">K61</f>
        <v>3062570.89112857</v>
      </c>
      <c r="L166" s="22" t="n">
        <f aca="false">L61</f>
        <v>3428884.4544955</v>
      </c>
      <c r="M166" s="22" t="n">
        <f aca="false">M61</f>
        <v>3800692.72131293</v>
      </c>
      <c r="N166" s="22" t="n">
        <f aca="false">N61</f>
        <v>4178078.11213262</v>
      </c>
      <c r="O166" s="22" t="n">
        <f aca="false">O61</f>
        <v>4561124.28381461</v>
      </c>
      <c r="P166" s="22" t="n">
        <f aca="false">P61</f>
        <v>4949916.14807183</v>
      </c>
      <c r="Q166" s="22" t="n">
        <f aca="false">Q61</f>
        <v>5344539.89029291</v>
      </c>
    </row>
    <row r="167" customFormat="false" ht="15" hidden="false" customHeight="false" outlineLevel="0" collapsed="false">
      <c r="A167" s="2" t="s">
        <v>141</v>
      </c>
      <c r="C167" s="22" t="n">
        <f aca="false">C106</f>
        <v>335500</v>
      </c>
      <c r="D167" s="22" t="n">
        <f aca="false">D106</f>
        <v>681065</v>
      </c>
      <c r="E167" s="22" t="n">
        <f aca="false">E106</f>
        <v>1036996.95</v>
      </c>
      <c r="F167" s="22" t="n">
        <f aca="false">F106</f>
        <v>1403606.8585</v>
      </c>
      <c r="G167" s="22" t="n">
        <f aca="false">G106</f>
        <v>1781215.064255</v>
      </c>
      <c r="H167" s="22" t="n">
        <f aca="false">H106</f>
        <v>2170151.51618265</v>
      </c>
      <c r="I167" s="22" t="n">
        <f aca="false">I106</f>
        <v>2570756.06166813</v>
      </c>
      <c r="J167" s="22" t="n">
        <f aca="false">J106</f>
        <v>2983378.74351817</v>
      </c>
      <c r="K167" s="22" t="n">
        <f aca="false">K106</f>
        <v>3408380.10582372</v>
      </c>
      <c r="L167" s="22" t="n">
        <f aca="false">L106</f>
        <v>3846131.50899843</v>
      </c>
      <c r="M167" s="22" t="n">
        <f aca="false">M106</f>
        <v>4297015.45426838</v>
      </c>
      <c r="N167" s="22" t="n">
        <f aca="false">N106</f>
        <v>4761425.91789644</v>
      </c>
      <c r="O167" s="22" t="n">
        <f aca="false">O106</f>
        <v>5239768.69543333</v>
      </c>
      <c r="P167" s="22" t="n">
        <f aca="false">P106</f>
        <v>5732461.75629633</v>
      </c>
      <c r="Q167" s="22" t="n">
        <f aca="false">Q106</f>
        <v>6239935.60898522</v>
      </c>
    </row>
    <row r="168" customFormat="false" ht="15" hidden="false" customHeight="false" outlineLevel="0" collapsed="false">
      <c r="A168" s="2" t="s">
        <v>142</v>
      </c>
      <c r="C168" s="22" t="n">
        <f aca="false">C151</f>
        <v>350625</v>
      </c>
      <c r="D168" s="22" t="n">
        <f aca="false">D151</f>
        <v>717028.125</v>
      </c>
      <c r="E168" s="22" t="n">
        <f aca="false">E151</f>
        <v>1099919.390625</v>
      </c>
      <c r="F168" s="22" t="n">
        <f aca="false">F151</f>
        <v>1500040.76320313</v>
      </c>
      <c r="G168" s="22" t="n">
        <f aca="false">G151</f>
        <v>1918167.59754727</v>
      </c>
      <c r="H168" s="22" t="n">
        <f aca="false">H151</f>
        <v>2355110.13943689</v>
      </c>
      <c r="I168" s="22" t="n">
        <f aca="false">I151</f>
        <v>2811715.09571155</v>
      </c>
      <c r="J168" s="22" t="n">
        <f aca="false">J151</f>
        <v>3288867.27501857</v>
      </c>
      <c r="K168" s="22" t="n">
        <f aca="false">K151</f>
        <v>3787491.30239441</v>
      </c>
      <c r="L168" s="22" t="n">
        <f aca="false">L151</f>
        <v>4308553.41100216</v>
      </c>
      <c r="M168" s="22" t="n">
        <f aca="false">M151</f>
        <v>4853063.31449725</v>
      </c>
      <c r="N168" s="22" t="n">
        <f aca="false">N151</f>
        <v>5422076.16364963</v>
      </c>
      <c r="O168" s="22" t="n">
        <f aca="false">O151</f>
        <v>6016694.59101386</v>
      </c>
      <c r="P168" s="22" t="n">
        <f aca="false">P151</f>
        <v>6638070.84760949</v>
      </c>
      <c r="Q168" s="22" t="n">
        <f aca="false">Q151</f>
        <v>7287409.03575191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0"/>
    <col collapsed="false" customWidth="true" hidden="false" outlineLevel="0" max="17" min="3" style="0" width="12"/>
  </cols>
  <sheetData>
    <row r="1" customFormat="false" ht="17.35" hidden="false" customHeight="false" outlineLevel="0" collapsed="false">
      <c r="A1" s="1" t="s">
        <v>153</v>
      </c>
    </row>
    <row r="2" customFormat="false" ht="15" hidden="false" customHeight="false" outlineLevel="0" collapsed="false">
      <c r="A2" s="6" t="s">
        <v>154</v>
      </c>
    </row>
    <row r="4" customFormat="false" ht="15" hidden="false" customHeight="false" outlineLevel="0" collapsed="false">
      <c r="A4" s="3" t="s">
        <v>155</v>
      </c>
    </row>
    <row r="5" customFormat="false" ht="15" hidden="false" customHeight="false" outlineLevel="0" collapsed="false">
      <c r="A5" s="3" t="s">
        <v>45</v>
      </c>
      <c r="C5" s="7" t="s">
        <v>156</v>
      </c>
      <c r="D5" s="7" t="s">
        <v>157</v>
      </c>
      <c r="E5" s="7" t="s">
        <v>158</v>
      </c>
      <c r="F5" s="7" t="s">
        <v>159</v>
      </c>
    </row>
    <row r="6" customFormat="false" ht="15" hidden="false" customHeight="false" outlineLevel="0" collapsed="false">
      <c r="A6" s="5" t="str">
        <f aca="false">Offer_1!$B$4</f>
        <v>Company A</v>
      </c>
      <c r="C6" s="27" t="n">
        <f aca="false">Offer_1!C61</f>
        <v>250000</v>
      </c>
      <c r="D6" s="27" t="n">
        <f aca="false">Offer_1!E61</f>
        <v>1086037.425</v>
      </c>
      <c r="E6" s="27" t="n">
        <f aca="false">Offer_1!G61</f>
        <v>1892478.19367062</v>
      </c>
      <c r="F6" s="27" t="n">
        <f aca="false">Offer_1!L61</f>
        <v>3560734.148724</v>
      </c>
    </row>
    <row r="7" customFormat="false" ht="15" hidden="false" customHeight="false" outlineLevel="0" collapsed="false">
      <c r="A7" s="5" t="str">
        <f aca="false">Offer_2!$B$4</f>
        <v>Company B</v>
      </c>
      <c r="C7" s="27" t="n">
        <f aca="false">Offer_2!C61</f>
        <v>247500</v>
      </c>
      <c r="D7" s="27" t="n">
        <f aca="false">Offer_2!E61</f>
        <v>983921.8375</v>
      </c>
      <c r="E7" s="27" t="n">
        <f aca="false">Offer_2!G61</f>
        <v>1817772.46253844</v>
      </c>
      <c r="F7" s="27" t="n">
        <f aca="false">Offer_2!L61</f>
        <v>3458207.28290492</v>
      </c>
    </row>
    <row r="8" customFormat="false" ht="15" hidden="false" customHeight="false" outlineLevel="0" collapsed="false">
      <c r="A8" s="5" t="str">
        <f aca="false">Offer_3!$B$4</f>
        <v>Company C</v>
      </c>
      <c r="C8" s="27" t="n">
        <f aca="false">Offer_3!C61</f>
        <v>215000</v>
      </c>
      <c r="D8" s="27" t="n">
        <f aca="false">Offer_3!E61</f>
        <v>892309.434375</v>
      </c>
      <c r="E8" s="27" t="n">
        <f aca="false">Offer_3!G61</f>
        <v>1637685.42140398</v>
      </c>
      <c r="F8" s="27" t="n">
        <f aca="false">Offer_3!L61</f>
        <v>3190912.79264607</v>
      </c>
    </row>
    <row r="9" customFormat="false" ht="15" hidden="false" customHeight="false" outlineLevel="0" collapsed="false">
      <c r="A9" s="5" t="str">
        <f aca="false">Current_Comp!$B$4</f>
        <v>Current employer</v>
      </c>
      <c r="C9" s="27" t="n">
        <f aca="false">Current_Comp!C61</f>
        <v>320375</v>
      </c>
      <c r="D9" s="27" t="n">
        <f aca="false">Current_Comp!E61</f>
        <v>975613.959375</v>
      </c>
      <c r="E9" s="27" t="n">
        <f aca="false">Current_Comp!G61</f>
        <v>1650657.51629711</v>
      </c>
      <c r="F9" s="27" t="n">
        <f aca="false">Current_Comp!L61</f>
        <v>3428884.4544955</v>
      </c>
    </row>
    <row r="12" customFormat="false" ht="15" hidden="false" customHeight="false" outlineLevel="0" collapsed="false">
      <c r="A12" s="3" t="s">
        <v>46</v>
      </c>
      <c r="C12" s="7" t="s">
        <v>156</v>
      </c>
      <c r="D12" s="7" t="s">
        <v>157</v>
      </c>
      <c r="E12" s="7" t="s">
        <v>158</v>
      </c>
      <c r="F12" s="7" t="s">
        <v>159</v>
      </c>
    </row>
    <row r="13" customFormat="false" ht="15" hidden="false" customHeight="false" outlineLevel="0" collapsed="false">
      <c r="A13" s="5" t="str">
        <f aca="false">Offer_1!$B$4</f>
        <v>Company A</v>
      </c>
      <c r="C13" s="27" t="n">
        <f aca="false">Offer_1!C106</f>
        <v>250000</v>
      </c>
      <c r="D13" s="27" t="n">
        <f aca="false">Offer_1!E106</f>
        <v>1149733.4</v>
      </c>
      <c r="E13" s="27" t="n">
        <f aca="false">Offer_1!G106</f>
        <v>2068896.57362</v>
      </c>
      <c r="F13" s="27" t="n">
        <f aca="false">Offer_1!L106</f>
        <v>4557443.00572304</v>
      </c>
    </row>
    <row r="14" customFormat="false" ht="15" hidden="false" customHeight="false" outlineLevel="0" collapsed="false">
      <c r="A14" s="5" t="str">
        <f aca="false">Offer_2!$B$4</f>
        <v>Company B</v>
      </c>
      <c r="C14" s="27" t="n">
        <f aca="false">Offer_2!C106</f>
        <v>247500</v>
      </c>
      <c r="D14" s="27" t="n">
        <f aca="false">Offer_2!E106</f>
        <v>1037810.55</v>
      </c>
      <c r="E14" s="27" t="n">
        <f aca="false">Offer_2!G106</f>
        <v>1992285.477495</v>
      </c>
      <c r="F14" s="27" t="n">
        <f aca="false">Offer_2!L106</f>
        <v>4332712.05406097</v>
      </c>
    </row>
    <row r="15" customFormat="false" ht="15" hidden="false" customHeight="false" outlineLevel="0" collapsed="false">
      <c r="A15" s="5" t="str">
        <f aca="false">Offer_3!$B$4</f>
        <v>Company C</v>
      </c>
      <c r="C15" s="27" t="n">
        <f aca="false">Offer_3!C106</f>
        <v>215000</v>
      </c>
      <c r="D15" s="27" t="n">
        <f aca="false">Offer_3!E106</f>
        <v>939751.65</v>
      </c>
      <c r="E15" s="27" t="n">
        <f aca="false">Offer_3!G106</f>
        <v>1793749.135485</v>
      </c>
      <c r="F15" s="27" t="n">
        <f aca="false">Offer_3!L106</f>
        <v>3922458.30554565</v>
      </c>
    </row>
    <row r="16" customFormat="false" ht="15" hidden="false" customHeight="false" outlineLevel="0" collapsed="false">
      <c r="A16" s="5" t="str">
        <f aca="false">Current_Comp!$B$4</f>
        <v>Current employer</v>
      </c>
      <c r="C16" s="27" t="n">
        <f aca="false">Current_Comp!C106</f>
        <v>335500</v>
      </c>
      <c r="D16" s="27" t="n">
        <f aca="false">Current_Comp!E106</f>
        <v>1036996.95</v>
      </c>
      <c r="E16" s="27" t="n">
        <f aca="false">Current_Comp!G106</f>
        <v>1781215.064255</v>
      </c>
      <c r="F16" s="27" t="n">
        <f aca="false">Current_Comp!L106</f>
        <v>3846131.50899843</v>
      </c>
    </row>
    <row r="19" customFormat="false" ht="15" hidden="false" customHeight="false" outlineLevel="0" collapsed="false">
      <c r="A19" s="3" t="s">
        <v>47</v>
      </c>
      <c r="C19" s="7" t="s">
        <v>156</v>
      </c>
      <c r="D19" s="7" t="s">
        <v>157</v>
      </c>
      <c r="E19" s="7" t="s">
        <v>158</v>
      </c>
      <c r="F19" s="7" t="s">
        <v>159</v>
      </c>
    </row>
    <row r="20" customFormat="false" ht="15" hidden="false" customHeight="false" outlineLevel="0" collapsed="false">
      <c r="A20" s="5" t="str">
        <f aca="false">Offer_1!$B$4</f>
        <v>Company A</v>
      </c>
      <c r="C20" s="27" t="n">
        <f aca="false">Offer_1!C151</f>
        <v>250000</v>
      </c>
      <c r="D20" s="27" t="n">
        <f aca="false">Offer_1!E151</f>
        <v>1220186.375</v>
      </c>
      <c r="E20" s="27" t="n">
        <f aca="false">Offer_1!G151</f>
        <v>2268776.46753438</v>
      </c>
      <c r="F20" s="27" t="n">
        <f aca="false">Offer_1!L151</f>
        <v>5196853.71296645</v>
      </c>
    </row>
    <row r="21" customFormat="false" ht="15" hidden="false" customHeight="false" outlineLevel="0" collapsed="false">
      <c r="A21" s="5" t="str">
        <f aca="false">Offer_2!$B$4</f>
        <v>Company B</v>
      </c>
      <c r="C21" s="27" t="n">
        <f aca="false">Offer_2!C151</f>
        <v>247500</v>
      </c>
      <c r="D21" s="27" t="n">
        <f aca="false">Offer_2!E151</f>
        <v>1096812.8125</v>
      </c>
      <c r="E21" s="27" t="n">
        <f aca="false">Offer_2!G151</f>
        <v>2193822.21235156</v>
      </c>
      <c r="F21" s="27" t="n">
        <f aca="false">Offer_2!L151</f>
        <v>4935107.73800092</v>
      </c>
    </row>
    <row r="22" customFormat="false" ht="15" hidden="false" customHeight="false" outlineLevel="0" collapsed="false">
      <c r="A22" s="5" t="str">
        <f aca="false">Offer_3!$B$4</f>
        <v>Company C</v>
      </c>
      <c r="C22" s="27" t="n">
        <f aca="false">Offer_3!C151</f>
        <v>215000</v>
      </c>
      <c r="D22" s="27" t="n">
        <f aca="false">Offer_3!E151</f>
        <v>992416.265625</v>
      </c>
      <c r="E22" s="27" t="n">
        <f aca="false">Offer_3!G151</f>
        <v>1978143.70684414</v>
      </c>
      <c r="F22" s="27" t="n">
        <f aca="false">Offer_3!L151</f>
        <v>4520234.39367551</v>
      </c>
    </row>
    <row r="23" customFormat="false" ht="15" hidden="false" customHeight="false" outlineLevel="0" collapsed="false">
      <c r="A23" s="5" t="str">
        <f aca="false">Current_Comp!$B$4</f>
        <v>Current employer</v>
      </c>
      <c r="C23" s="27" t="n">
        <f aca="false">Current_Comp!C151</f>
        <v>350625</v>
      </c>
      <c r="D23" s="27" t="n">
        <f aca="false">Current_Comp!E151</f>
        <v>1099919.390625</v>
      </c>
      <c r="E23" s="27" t="n">
        <f aca="false">Current_Comp!G151</f>
        <v>1918167.59754727</v>
      </c>
      <c r="F23" s="27" t="n">
        <f aca="false">Current_Comp!L151</f>
        <v>4308553.41100216</v>
      </c>
    </row>
    <row r="26" customFormat="false" ht="15" hidden="false" customHeight="false" outlineLevel="0" collapsed="false">
      <c r="A26" s="3" t="s">
        <v>160</v>
      </c>
    </row>
    <row r="27" customFormat="false" ht="15" hidden="false" customHeight="false" outlineLevel="0" collapsed="false">
      <c r="A27" s="3" t="s">
        <v>102</v>
      </c>
      <c r="C27" s="17" t="n">
        <f aca="false">Offer_1!C78</f>
        <v>2026</v>
      </c>
      <c r="D27" s="17" t="n">
        <f aca="false">Offer_1!D78</f>
        <v>2027</v>
      </c>
      <c r="E27" s="17" t="n">
        <f aca="false">Offer_1!E78</f>
        <v>2028</v>
      </c>
      <c r="F27" s="17" t="n">
        <f aca="false">Offer_1!F78</f>
        <v>2029</v>
      </c>
      <c r="G27" s="17" t="n">
        <f aca="false">Offer_1!G78</f>
        <v>2030</v>
      </c>
      <c r="H27" s="17" t="n">
        <f aca="false">Offer_1!H78</f>
        <v>2031</v>
      </c>
      <c r="I27" s="17" t="n">
        <f aca="false">Offer_1!I78</f>
        <v>2032</v>
      </c>
      <c r="J27" s="17" t="n">
        <f aca="false">Offer_1!J78</f>
        <v>2033</v>
      </c>
      <c r="K27" s="17" t="n">
        <f aca="false">Offer_1!K78</f>
        <v>2034</v>
      </c>
      <c r="L27" s="17" t="n">
        <f aca="false">Offer_1!L78</f>
        <v>2035</v>
      </c>
      <c r="M27" s="17" t="n">
        <f aca="false">Offer_1!M78</f>
        <v>2036</v>
      </c>
      <c r="N27" s="17" t="n">
        <f aca="false">Offer_1!N78</f>
        <v>2037</v>
      </c>
      <c r="O27" s="17" t="n">
        <f aca="false">Offer_1!O78</f>
        <v>2038</v>
      </c>
      <c r="P27" s="17" t="n">
        <f aca="false">Offer_1!P78</f>
        <v>2039</v>
      </c>
      <c r="Q27" s="17" t="n">
        <f aca="false">Offer_1!Q78</f>
        <v>2040</v>
      </c>
    </row>
    <row r="28" customFormat="false" ht="15" hidden="false" customHeight="false" outlineLevel="0" collapsed="false">
      <c r="A28" s="3" t="s">
        <v>161</v>
      </c>
    </row>
    <row r="29" customFormat="false" ht="15" hidden="false" customHeight="false" outlineLevel="0" collapsed="false">
      <c r="B29" s="5" t="str">
        <f aca="false">Offer_1!$B$4</f>
        <v>Company A</v>
      </c>
      <c r="C29" s="27" t="n">
        <f aca="false">Offer_1!C105</f>
        <v>250000</v>
      </c>
      <c r="D29" s="27" t="n">
        <f aca="false">Offer_1!D105</f>
        <v>472520</v>
      </c>
      <c r="E29" s="27" t="n">
        <f aca="false">Offer_1!E105</f>
        <v>427213.4</v>
      </c>
      <c r="F29" s="27" t="n">
        <f aca="false">Offer_1!F105</f>
        <v>448891.328</v>
      </c>
      <c r="G29" s="27" t="n">
        <f aca="false">Offer_1!G105</f>
        <v>470271.84562</v>
      </c>
      <c r="H29" s="27" t="n">
        <f aca="false">Offer_1!H105</f>
        <v>468729.0966292</v>
      </c>
      <c r="I29" s="27" t="n">
        <f aca="false">Offer_1!I105</f>
        <v>482790.969528076</v>
      </c>
      <c r="J29" s="27" t="n">
        <f aca="false">Offer_1!J105</f>
        <v>497274.698613918</v>
      </c>
      <c r="K29" s="27" t="n">
        <f aca="false">Offer_1!K105</f>
        <v>512192.939572336</v>
      </c>
      <c r="L29" s="27" t="n">
        <f aca="false">Offer_1!L105</f>
        <v>527558.727759506</v>
      </c>
      <c r="M29" s="27" t="n">
        <f aca="false">Offer_1!M105</f>
        <v>543385.489592291</v>
      </c>
      <c r="N29" s="27" t="n">
        <f aca="false">Offer_1!N105</f>
        <v>559687.05428006</v>
      </c>
      <c r="O29" s="27" t="n">
        <f aca="false">Offer_1!O105</f>
        <v>576477.665908462</v>
      </c>
      <c r="P29" s="27" t="n">
        <f aca="false">Offer_1!P105</f>
        <v>593771.995885716</v>
      </c>
      <c r="Q29" s="27" t="n">
        <f aca="false">Offer_1!Q105</f>
        <v>554376.500177584</v>
      </c>
    </row>
    <row r="30" customFormat="false" ht="15" hidden="false" customHeight="false" outlineLevel="0" collapsed="false">
      <c r="B30" s="5" t="str">
        <f aca="false">Offer_2!$B$4</f>
        <v>Company B</v>
      </c>
      <c r="C30" s="27" t="n">
        <f aca="false">Offer_2!C105</f>
        <v>247500</v>
      </c>
      <c r="D30" s="27" t="n">
        <f aca="false">Offer_2!D105</f>
        <v>390685</v>
      </c>
      <c r="E30" s="27" t="n">
        <f aca="false">Offer_2!E105</f>
        <v>399625.55</v>
      </c>
      <c r="F30" s="27" t="n">
        <f aca="false">Offer_2!F105</f>
        <v>449968.4665</v>
      </c>
      <c r="G30" s="27" t="n">
        <f aca="false">Offer_2!G105</f>
        <v>504506.460995</v>
      </c>
      <c r="H30" s="27" t="n">
        <f aca="false">Offer_2!H105</f>
        <v>440830.0447236</v>
      </c>
      <c r="I30" s="27" t="n">
        <f aca="false">Offer_2!I105</f>
        <v>454054.946065308</v>
      </c>
      <c r="J30" s="27" t="n">
        <f aca="false">Offer_2!J105</f>
        <v>467676.594447267</v>
      </c>
      <c r="K30" s="27" t="n">
        <f aca="false">Offer_2!K105</f>
        <v>481706.892280685</v>
      </c>
      <c r="L30" s="27" t="n">
        <f aca="false">Offer_2!L105</f>
        <v>496158.099049106</v>
      </c>
      <c r="M30" s="27" t="n">
        <f aca="false">Offer_2!M105</f>
        <v>511042.842020579</v>
      </c>
      <c r="N30" s="27" t="n">
        <f aca="false">Offer_2!N105</f>
        <v>526374.127281197</v>
      </c>
      <c r="O30" s="27" t="n">
        <f aca="false">Offer_2!O105</f>
        <v>542165.351099632</v>
      </c>
      <c r="P30" s="27" t="n">
        <f aca="false">Offer_2!P105</f>
        <v>558430.311632622</v>
      </c>
      <c r="Q30" s="27" t="n">
        <f aca="false">Offer_2!Q105</f>
        <v>529416.296513838</v>
      </c>
    </row>
    <row r="31" customFormat="false" ht="15" hidden="false" customHeight="false" outlineLevel="0" collapsed="false">
      <c r="B31" s="5" t="str">
        <f aca="false">Offer_3!$B$4</f>
        <v>Company C</v>
      </c>
      <c r="C31" s="27" t="n">
        <f aca="false">Offer_3!C105</f>
        <v>215000</v>
      </c>
      <c r="D31" s="27" t="n">
        <f aca="false">Offer_3!D105</f>
        <v>357055</v>
      </c>
      <c r="E31" s="27" t="n">
        <f aca="false">Offer_3!E105</f>
        <v>367696.65</v>
      </c>
      <c r="F31" s="27" t="n">
        <f aca="false">Offer_3!F105</f>
        <v>406205.1495</v>
      </c>
      <c r="G31" s="27" t="n">
        <f aca="false">Offer_3!G105</f>
        <v>447792.335985</v>
      </c>
      <c r="H31" s="27" t="n">
        <f aca="false">Offer_3!H105</f>
        <v>492685.21030455</v>
      </c>
      <c r="I31" s="27" t="n">
        <f aca="false">Offer_3!I105</f>
        <v>391053.972965587</v>
      </c>
      <c r="J31" s="27" t="n">
        <f aca="false">Offer_3!J105</f>
        <v>402785.592154554</v>
      </c>
      <c r="K31" s="27" t="n">
        <f aca="false">Offer_3!K105</f>
        <v>414869.159919191</v>
      </c>
      <c r="L31" s="27" t="n">
        <f aca="false">Offer_3!L105</f>
        <v>427315.234716767</v>
      </c>
      <c r="M31" s="27" t="n">
        <f aca="false">Offer_3!M105</f>
        <v>440134.69175827</v>
      </c>
      <c r="N31" s="27" t="n">
        <f aca="false">Offer_3!N105</f>
        <v>453338.732511018</v>
      </c>
      <c r="O31" s="27" t="n">
        <f aca="false">Offer_3!O105</f>
        <v>466938.894486348</v>
      </c>
      <c r="P31" s="27" t="n">
        <f aca="false">Offer_3!P105</f>
        <v>480947.061320939</v>
      </c>
      <c r="Q31" s="27" t="n">
        <f aca="false">Offer_3!Q105</f>
        <v>464864.190182059</v>
      </c>
    </row>
    <row r="32" customFormat="false" ht="15" hidden="false" customHeight="false" outlineLevel="0" collapsed="false">
      <c r="B32" s="5" t="str">
        <f aca="false">Current_Comp!$B$4</f>
        <v>Current employer</v>
      </c>
      <c r="C32" s="27" t="n">
        <f aca="false">Current_Comp!C105</f>
        <v>335500</v>
      </c>
      <c r="D32" s="27" t="n">
        <f aca="false">Current_Comp!D105</f>
        <v>345565</v>
      </c>
      <c r="E32" s="27" t="n">
        <f aca="false">Current_Comp!E105</f>
        <v>355931.95</v>
      </c>
      <c r="F32" s="27" t="n">
        <f aca="false">Current_Comp!F105</f>
        <v>366609.9085</v>
      </c>
      <c r="G32" s="27" t="n">
        <f aca="false">Current_Comp!G105</f>
        <v>377608.205755</v>
      </c>
      <c r="H32" s="27" t="n">
        <f aca="false">Current_Comp!H105</f>
        <v>388936.45192765</v>
      </c>
      <c r="I32" s="27" t="n">
        <f aca="false">Current_Comp!I105</f>
        <v>400604.545485479</v>
      </c>
      <c r="J32" s="27" t="n">
        <f aca="false">Current_Comp!J105</f>
        <v>412622.681850044</v>
      </c>
      <c r="K32" s="27" t="n">
        <f aca="false">Current_Comp!K105</f>
        <v>425001.362305545</v>
      </c>
      <c r="L32" s="27" t="n">
        <f aca="false">Current_Comp!L105</f>
        <v>437751.403174712</v>
      </c>
      <c r="M32" s="27" t="n">
        <f aca="false">Current_Comp!M105</f>
        <v>450883.945269953</v>
      </c>
      <c r="N32" s="27" t="n">
        <f aca="false">Current_Comp!N105</f>
        <v>464410.463628051</v>
      </c>
      <c r="O32" s="27" t="n">
        <f aca="false">Current_Comp!O105</f>
        <v>478342.777536893</v>
      </c>
      <c r="P32" s="27" t="n">
        <f aca="false">Current_Comp!P105</f>
        <v>492693.060863</v>
      </c>
      <c r="Q32" s="27" t="n">
        <f aca="false">Current_Comp!Q105</f>
        <v>507473.85268889</v>
      </c>
    </row>
    <row r="34" customFormat="false" ht="15" hidden="false" customHeight="false" outlineLevel="0" collapsed="false">
      <c r="A34" s="3" t="s">
        <v>162</v>
      </c>
    </row>
    <row r="35" customFormat="false" ht="15" hidden="false" customHeight="false" outlineLevel="0" collapsed="false">
      <c r="B35" s="5" t="str">
        <f aca="false">Offer_1!$B$4</f>
        <v>Company A</v>
      </c>
      <c r="C35" s="27" t="n">
        <f aca="false">Offer_1!C106</f>
        <v>250000</v>
      </c>
      <c r="D35" s="27" t="n">
        <f aca="false">Offer_1!D106</f>
        <v>722520</v>
      </c>
      <c r="E35" s="27" t="n">
        <f aca="false">Offer_1!E106</f>
        <v>1149733.4</v>
      </c>
      <c r="F35" s="27" t="n">
        <f aca="false">Offer_1!F106</f>
        <v>1598624.728</v>
      </c>
      <c r="G35" s="27" t="n">
        <f aca="false">Offer_1!G106</f>
        <v>2068896.57362</v>
      </c>
      <c r="H35" s="27" t="n">
        <f aca="false">Offer_1!H106</f>
        <v>2537625.6702492</v>
      </c>
      <c r="I35" s="27" t="n">
        <f aca="false">Offer_1!I106</f>
        <v>3020416.63977728</v>
      </c>
      <c r="J35" s="27" t="n">
        <f aca="false">Offer_1!J106</f>
        <v>3517691.33839119</v>
      </c>
      <c r="K35" s="27" t="n">
        <f aca="false">Offer_1!K106</f>
        <v>4029884.27796353</v>
      </c>
      <c r="L35" s="27" t="n">
        <f aca="false">Offer_1!L106</f>
        <v>4557443.00572304</v>
      </c>
      <c r="M35" s="27" t="n">
        <f aca="false">Offer_1!M106</f>
        <v>5100828.49531533</v>
      </c>
      <c r="N35" s="27" t="n">
        <f aca="false">Offer_1!N106</f>
        <v>5660515.54959539</v>
      </c>
      <c r="O35" s="27" t="n">
        <f aca="false">Offer_1!O106</f>
        <v>6236993.21550385</v>
      </c>
      <c r="P35" s="27" t="n">
        <f aca="false">Offer_1!P106</f>
        <v>6830765.21138957</v>
      </c>
      <c r="Q35" s="27" t="n">
        <f aca="false">Offer_1!Q106</f>
        <v>7385141.71156715</v>
      </c>
    </row>
    <row r="36" customFormat="false" ht="15" hidden="false" customHeight="false" outlineLevel="0" collapsed="false">
      <c r="B36" s="5" t="str">
        <f aca="false">Offer_2!$B$4</f>
        <v>Company B</v>
      </c>
      <c r="C36" s="27" t="n">
        <f aca="false">Offer_2!C106</f>
        <v>247500</v>
      </c>
      <c r="D36" s="27" t="n">
        <f aca="false">Offer_2!D106</f>
        <v>638185</v>
      </c>
      <c r="E36" s="27" t="n">
        <f aca="false">Offer_2!E106</f>
        <v>1037810.55</v>
      </c>
      <c r="F36" s="27" t="n">
        <f aca="false">Offer_2!F106</f>
        <v>1487779.0165</v>
      </c>
      <c r="G36" s="27" t="n">
        <f aca="false">Offer_2!G106</f>
        <v>1992285.477495</v>
      </c>
      <c r="H36" s="27" t="n">
        <f aca="false">Offer_2!H106</f>
        <v>2433115.5222186</v>
      </c>
      <c r="I36" s="27" t="n">
        <f aca="false">Offer_2!I106</f>
        <v>2887170.46828391</v>
      </c>
      <c r="J36" s="27" t="n">
        <f aca="false">Offer_2!J106</f>
        <v>3354847.06273118</v>
      </c>
      <c r="K36" s="27" t="n">
        <f aca="false">Offer_2!K106</f>
        <v>3836553.95501186</v>
      </c>
      <c r="L36" s="27" t="n">
        <f aca="false">Offer_2!L106</f>
        <v>4332712.05406097</v>
      </c>
      <c r="M36" s="27" t="n">
        <f aca="false">Offer_2!M106</f>
        <v>4843754.89608155</v>
      </c>
      <c r="N36" s="27" t="n">
        <f aca="false">Offer_2!N106</f>
        <v>5370129.02336274</v>
      </c>
      <c r="O36" s="27" t="n">
        <f aca="false">Offer_2!O106</f>
        <v>5912294.37446237</v>
      </c>
      <c r="P36" s="27" t="n">
        <f aca="false">Offer_2!P106</f>
        <v>6470724.686095</v>
      </c>
      <c r="Q36" s="27" t="n">
        <f aca="false">Offer_2!Q106</f>
        <v>7000140.98260883</v>
      </c>
    </row>
    <row r="37" customFormat="false" ht="15" hidden="false" customHeight="false" outlineLevel="0" collapsed="false">
      <c r="B37" s="5" t="str">
        <f aca="false">Offer_3!$B$4</f>
        <v>Company C</v>
      </c>
      <c r="C37" s="27" t="n">
        <f aca="false">Offer_3!C106</f>
        <v>215000</v>
      </c>
      <c r="D37" s="27" t="n">
        <f aca="false">Offer_3!D106</f>
        <v>572055</v>
      </c>
      <c r="E37" s="27" t="n">
        <f aca="false">Offer_3!E106</f>
        <v>939751.65</v>
      </c>
      <c r="F37" s="27" t="n">
        <f aca="false">Offer_3!F106</f>
        <v>1345956.7995</v>
      </c>
      <c r="G37" s="27" t="n">
        <f aca="false">Offer_3!G106</f>
        <v>1793749.135485</v>
      </c>
      <c r="H37" s="27" t="n">
        <f aca="false">Offer_3!H106</f>
        <v>2286434.34578955</v>
      </c>
      <c r="I37" s="27" t="n">
        <f aca="false">Offer_3!I106</f>
        <v>2677488.31875514</v>
      </c>
      <c r="J37" s="27" t="n">
        <f aca="false">Offer_3!J106</f>
        <v>3080273.91090969</v>
      </c>
      <c r="K37" s="27" t="n">
        <f aca="false">Offer_3!K106</f>
        <v>3495143.07082888</v>
      </c>
      <c r="L37" s="27" t="n">
        <f aca="false">Offer_3!L106</f>
        <v>3922458.30554565</v>
      </c>
      <c r="M37" s="27" t="n">
        <f aca="false">Offer_3!M106</f>
        <v>4362592.99730392</v>
      </c>
      <c r="N37" s="27" t="n">
        <f aca="false">Offer_3!N106</f>
        <v>4815931.72981494</v>
      </c>
      <c r="O37" s="27" t="n">
        <f aca="false">Offer_3!O106</f>
        <v>5282870.62430128</v>
      </c>
      <c r="P37" s="27" t="n">
        <f aca="false">Offer_3!P106</f>
        <v>5763817.68562222</v>
      </c>
      <c r="Q37" s="27" t="n">
        <f aca="false">Offer_3!Q106</f>
        <v>6228681.87580428</v>
      </c>
    </row>
    <row r="38" customFormat="false" ht="15" hidden="false" customHeight="false" outlineLevel="0" collapsed="false">
      <c r="B38" s="5" t="str">
        <f aca="false">Current_Comp!$B$4</f>
        <v>Current employer</v>
      </c>
      <c r="C38" s="27" t="n">
        <f aca="false">Current_Comp!C106</f>
        <v>335500</v>
      </c>
      <c r="D38" s="27" t="n">
        <f aca="false">Current_Comp!D106</f>
        <v>681065</v>
      </c>
      <c r="E38" s="27" t="n">
        <f aca="false">Current_Comp!E106</f>
        <v>1036996.95</v>
      </c>
      <c r="F38" s="27" t="n">
        <f aca="false">Current_Comp!F106</f>
        <v>1403606.8585</v>
      </c>
      <c r="G38" s="27" t="n">
        <f aca="false">Current_Comp!G106</f>
        <v>1781215.064255</v>
      </c>
      <c r="H38" s="27" t="n">
        <f aca="false">Current_Comp!H106</f>
        <v>2170151.51618265</v>
      </c>
      <c r="I38" s="27" t="n">
        <f aca="false">Current_Comp!I106</f>
        <v>2570756.06166813</v>
      </c>
      <c r="J38" s="27" t="n">
        <f aca="false">Current_Comp!J106</f>
        <v>2983378.74351817</v>
      </c>
      <c r="K38" s="27" t="n">
        <f aca="false">Current_Comp!K106</f>
        <v>3408380.10582372</v>
      </c>
      <c r="L38" s="27" t="n">
        <f aca="false">Current_Comp!L106</f>
        <v>3846131.50899843</v>
      </c>
      <c r="M38" s="27" t="n">
        <f aca="false">Current_Comp!M106</f>
        <v>4297015.45426838</v>
      </c>
      <c r="N38" s="27" t="n">
        <f aca="false">Current_Comp!N106</f>
        <v>4761425.91789644</v>
      </c>
      <c r="O38" s="27" t="n">
        <f aca="false">Current_Comp!O106</f>
        <v>5239768.69543333</v>
      </c>
      <c r="P38" s="27" t="n">
        <f aca="false">Current_Comp!P106</f>
        <v>5732461.75629633</v>
      </c>
      <c r="Q38" s="27" t="n">
        <f aca="false">Current_Comp!Q106</f>
        <v>6239935.60898522</v>
      </c>
    </row>
    <row r="40" customFormat="false" ht="15" hidden="false" customHeight="false" outlineLevel="0" collapsed="false">
      <c r="A40" s="3" t="s">
        <v>163</v>
      </c>
      <c r="C40" s="28" t="str">
        <f aca="false">INDEX($B$35:$B$38,MATCH(MAX(C35:C38),C35:C38,0))</f>
        <v>Current employer</v>
      </c>
      <c r="D40" s="28" t="str">
        <f aca="false">INDEX($B$35:$B$38,MATCH(MAX(D35:D38),D35:D38,0))</f>
        <v>Company A</v>
      </c>
      <c r="E40" s="28" t="str">
        <f aca="false">INDEX($B$35:$B$38,MATCH(MAX(E35:E38),E35:E38,0))</f>
        <v>Company A</v>
      </c>
      <c r="F40" s="28" t="str">
        <f aca="false">INDEX($B$35:$B$38,MATCH(MAX(F35:F38),F35:F38,0))</f>
        <v>Company A</v>
      </c>
      <c r="G40" s="28" t="str">
        <f aca="false">INDEX($B$35:$B$38,MATCH(MAX(G35:G38),G35:G38,0))</f>
        <v>Company A</v>
      </c>
      <c r="H40" s="28" t="str">
        <f aca="false">INDEX($B$35:$B$38,MATCH(MAX(H35:H38),H35:H38,0))</f>
        <v>Company A</v>
      </c>
      <c r="I40" s="28" t="str">
        <f aca="false">INDEX($B$35:$B$38,MATCH(MAX(I35:I38),I35:I38,0))</f>
        <v>Company A</v>
      </c>
      <c r="J40" s="28" t="str">
        <f aca="false">INDEX($B$35:$B$38,MATCH(MAX(J35:J38),J35:J38,0))</f>
        <v>Company A</v>
      </c>
      <c r="K40" s="28" t="str">
        <f aca="false">INDEX($B$35:$B$38,MATCH(MAX(K35:K38),K35:K38,0))</f>
        <v>Company A</v>
      </c>
      <c r="L40" s="28" t="str">
        <f aca="false">INDEX($B$35:$B$38,MATCH(MAX(L35:L38),L35:L38,0))</f>
        <v>Company A</v>
      </c>
      <c r="M40" s="28" t="str">
        <f aca="false">INDEX($B$35:$B$38,MATCH(MAX(M35:M38),M35:M38,0))</f>
        <v>Company A</v>
      </c>
      <c r="N40" s="28" t="str">
        <f aca="false">INDEX($B$35:$B$38,MATCH(MAX(N35:N38),N35:N38,0))</f>
        <v>Company A</v>
      </c>
      <c r="O40" s="28" t="str">
        <f aca="false">INDEX($B$35:$B$38,MATCH(MAX(O35:O38),O35:O38,0))</f>
        <v>Company A</v>
      </c>
      <c r="P40" s="28" t="str">
        <f aca="false">INDEX($B$35:$B$38,MATCH(MAX(P35:P38),P35:P38,0))</f>
        <v>Company A</v>
      </c>
      <c r="Q40" s="28" t="str">
        <f aca="false">INDEX($B$35:$B$38,MATCH(MAX(Q35:Q38),Q35:Q38,0))</f>
        <v>Company A</v>
      </c>
    </row>
    <row r="42" customFormat="false" ht="15" hidden="false" customHeight="false" outlineLevel="0" collapsed="false">
      <c r="A42" s="3" t="s">
        <v>164</v>
      </c>
    </row>
    <row r="43" customFormat="false" ht="15" hidden="false" customHeight="false" outlineLevel="0" collapsed="false">
      <c r="A43" s="6" t="s">
        <v>165</v>
      </c>
    </row>
    <row r="44" customFormat="false" ht="15" hidden="false" customHeight="false" outlineLevel="0" collapsed="false">
      <c r="A44" s="6" t="s">
        <v>166</v>
      </c>
    </row>
    <row r="45" customFormat="false" ht="15" hidden="false" customHeight="false" outlineLevel="0" collapsed="false">
      <c r="B45" s="5" t="str">
        <f aca="false">Offer_1!$B$4</f>
        <v>Company A</v>
      </c>
      <c r="C45" s="23" t="n">
        <f aca="false">IF(Offer_1!C106&gt;Current_Comp!C106,C$27-Offer_1!$B$6+1,9999)</f>
        <v>9999</v>
      </c>
      <c r="D45" s="23" t="n">
        <f aca="false">IF(Offer_1!D106&gt;Current_Comp!D106,D$27-Offer_1!$B$6+1,9999)</f>
        <v>2</v>
      </c>
      <c r="E45" s="23" t="n">
        <f aca="false">IF(Offer_1!E106&gt;Current_Comp!E106,E$27-Offer_1!$B$6+1,9999)</f>
        <v>3</v>
      </c>
      <c r="F45" s="23" t="n">
        <f aca="false">IF(Offer_1!F106&gt;Current_Comp!F106,F$27-Offer_1!$B$6+1,9999)</f>
        <v>4</v>
      </c>
      <c r="G45" s="23" t="n">
        <f aca="false">IF(Offer_1!G106&gt;Current_Comp!G106,G$27-Offer_1!$B$6+1,9999)</f>
        <v>5</v>
      </c>
      <c r="H45" s="23" t="n">
        <f aca="false">IF(Offer_1!H106&gt;Current_Comp!H106,H$27-Offer_1!$B$6+1,9999)</f>
        <v>6</v>
      </c>
      <c r="I45" s="23" t="n">
        <f aca="false">IF(Offer_1!I106&gt;Current_Comp!I106,I$27-Offer_1!$B$6+1,9999)</f>
        <v>7</v>
      </c>
      <c r="J45" s="23" t="n">
        <f aca="false">IF(Offer_1!J106&gt;Current_Comp!J106,J$27-Offer_1!$B$6+1,9999)</f>
        <v>8</v>
      </c>
      <c r="K45" s="23" t="n">
        <f aca="false">IF(Offer_1!K106&gt;Current_Comp!K106,K$27-Offer_1!$B$6+1,9999)</f>
        <v>9</v>
      </c>
      <c r="L45" s="23" t="n">
        <f aca="false">IF(Offer_1!L106&gt;Current_Comp!L106,L$27-Offer_1!$B$6+1,9999)</f>
        <v>10</v>
      </c>
      <c r="M45" s="23" t="n">
        <f aca="false">IF(Offer_1!M106&gt;Current_Comp!M106,M$27-Offer_1!$B$6+1,9999)</f>
        <v>11</v>
      </c>
      <c r="N45" s="23" t="n">
        <f aca="false">IF(Offer_1!N106&gt;Current_Comp!N106,N$27-Offer_1!$B$6+1,9999)</f>
        <v>12</v>
      </c>
      <c r="O45" s="23" t="n">
        <f aca="false">IF(Offer_1!O106&gt;Current_Comp!O106,O$27-Offer_1!$B$6+1,9999)</f>
        <v>13</v>
      </c>
      <c r="P45" s="23" t="n">
        <f aca="false">IF(Offer_1!P106&gt;Current_Comp!P106,P$27-Offer_1!$B$6+1,9999)</f>
        <v>14</v>
      </c>
      <c r="Q45" s="23" t="n">
        <f aca="false">IF(Offer_1!Q106&gt;Current_Comp!Q106,Q$27-Offer_1!$B$6+1,9999)</f>
        <v>15</v>
      </c>
    </row>
    <row r="46" customFormat="false" ht="15" hidden="false" customHeight="false" outlineLevel="0" collapsed="false">
      <c r="B46" s="5" t="str">
        <f aca="false">Offer_2!$B$4</f>
        <v>Company B</v>
      </c>
      <c r="C46" s="23" t="n">
        <f aca="false">IF(Offer_2!C106&gt;Current_Comp!C106,C$27-Offer_2!$B$6+1,9999)</f>
        <v>9999</v>
      </c>
      <c r="D46" s="23" t="n">
        <f aca="false">IF(Offer_2!D106&gt;Current_Comp!D106,D$27-Offer_2!$B$6+1,9999)</f>
        <v>9999</v>
      </c>
      <c r="E46" s="23" t="n">
        <f aca="false">IF(Offer_2!E106&gt;Current_Comp!E106,E$27-Offer_2!$B$6+1,9999)</f>
        <v>3</v>
      </c>
      <c r="F46" s="23" t="n">
        <f aca="false">IF(Offer_2!F106&gt;Current_Comp!F106,F$27-Offer_2!$B$6+1,9999)</f>
        <v>4</v>
      </c>
      <c r="G46" s="23" t="n">
        <f aca="false">IF(Offer_2!G106&gt;Current_Comp!G106,G$27-Offer_2!$B$6+1,9999)</f>
        <v>5</v>
      </c>
      <c r="H46" s="23" t="n">
        <f aca="false">IF(Offer_2!H106&gt;Current_Comp!H106,H$27-Offer_2!$B$6+1,9999)</f>
        <v>6</v>
      </c>
      <c r="I46" s="23" t="n">
        <f aca="false">IF(Offer_2!I106&gt;Current_Comp!I106,I$27-Offer_2!$B$6+1,9999)</f>
        <v>7</v>
      </c>
      <c r="J46" s="23" t="n">
        <f aca="false">IF(Offer_2!J106&gt;Current_Comp!J106,J$27-Offer_2!$B$6+1,9999)</f>
        <v>8</v>
      </c>
      <c r="K46" s="23" t="n">
        <f aca="false">IF(Offer_2!K106&gt;Current_Comp!K106,K$27-Offer_2!$B$6+1,9999)</f>
        <v>9</v>
      </c>
      <c r="L46" s="23" t="n">
        <f aca="false">IF(Offer_2!L106&gt;Current_Comp!L106,L$27-Offer_2!$B$6+1,9999)</f>
        <v>10</v>
      </c>
      <c r="M46" s="23" t="n">
        <f aca="false">IF(Offer_2!M106&gt;Current_Comp!M106,M$27-Offer_2!$B$6+1,9999)</f>
        <v>11</v>
      </c>
      <c r="N46" s="23" t="n">
        <f aca="false">IF(Offer_2!N106&gt;Current_Comp!N106,N$27-Offer_2!$B$6+1,9999)</f>
        <v>12</v>
      </c>
      <c r="O46" s="23" t="n">
        <f aca="false">IF(Offer_2!O106&gt;Current_Comp!O106,O$27-Offer_2!$B$6+1,9999)</f>
        <v>13</v>
      </c>
      <c r="P46" s="23" t="n">
        <f aca="false">IF(Offer_2!P106&gt;Current_Comp!P106,P$27-Offer_2!$B$6+1,9999)</f>
        <v>14</v>
      </c>
      <c r="Q46" s="23" t="n">
        <f aca="false">IF(Offer_2!Q106&gt;Current_Comp!Q106,Q$27-Offer_2!$B$6+1,9999)</f>
        <v>15</v>
      </c>
    </row>
    <row r="47" customFormat="false" ht="15" hidden="false" customHeight="false" outlineLevel="0" collapsed="false">
      <c r="B47" s="5" t="str">
        <f aca="false">Offer_3!$B$4</f>
        <v>Company C</v>
      </c>
      <c r="C47" s="23" t="n">
        <f aca="false">IF(Offer_3!C106&gt;Current_Comp!C106,C$27-Offer_3!$B$6+1,9999)</f>
        <v>9999</v>
      </c>
      <c r="D47" s="23" t="n">
        <f aca="false">IF(Offer_3!D106&gt;Current_Comp!D106,D$27-Offer_3!$B$6+1,9999)</f>
        <v>9999</v>
      </c>
      <c r="E47" s="23" t="n">
        <f aca="false">IF(Offer_3!E106&gt;Current_Comp!E106,E$27-Offer_3!$B$6+1,9999)</f>
        <v>9999</v>
      </c>
      <c r="F47" s="23" t="n">
        <f aca="false">IF(Offer_3!F106&gt;Current_Comp!F106,F$27-Offer_3!$B$6+1,9999)</f>
        <v>9999</v>
      </c>
      <c r="G47" s="23" t="n">
        <f aca="false">IF(Offer_3!G106&gt;Current_Comp!G106,G$27-Offer_3!$B$6+1,9999)</f>
        <v>5</v>
      </c>
      <c r="H47" s="23" t="n">
        <f aca="false">IF(Offer_3!H106&gt;Current_Comp!H106,H$27-Offer_3!$B$6+1,9999)</f>
        <v>6</v>
      </c>
      <c r="I47" s="23" t="n">
        <f aca="false">IF(Offer_3!I106&gt;Current_Comp!I106,I$27-Offer_3!$B$6+1,9999)</f>
        <v>7</v>
      </c>
      <c r="J47" s="23" t="n">
        <f aca="false">IF(Offer_3!J106&gt;Current_Comp!J106,J$27-Offer_3!$B$6+1,9999)</f>
        <v>8</v>
      </c>
      <c r="K47" s="23" t="n">
        <f aca="false">IF(Offer_3!K106&gt;Current_Comp!K106,K$27-Offer_3!$B$6+1,9999)</f>
        <v>9</v>
      </c>
      <c r="L47" s="23" t="n">
        <f aca="false">IF(Offer_3!L106&gt;Current_Comp!L106,L$27-Offer_3!$B$6+1,9999)</f>
        <v>10</v>
      </c>
      <c r="M47" s="23" t="n">
        <f aca="false">IF(Offer_3!M106&gt;Current_Comp!M106,M$27-Offer_3!$B$6+1,9999)</f>
        <v>11</v>
      </c>
      <c r="N47" s="23" t="n">
        <f aca="false">IF(Offer_3!N106&gt;Current_Comp!N106,N$27-Offer_3!$B$6+1,9999)</f>
        <v>12</v>
      </c>
      <c r="O47" s="23" t="n">
        <f aca="false">IF(Offer_3!O106&gt;Current_Comp!O106,O$27-Offer_3!$B$6+1,9999)</f>
        <v>13</v>
      </c>
      <c r="P47" s="23" t="n">
        <f aca="false">IF(Offer_3!P106&gt;Current_Comp!P106,P$27-Offer_3!$B$6+1,9999)</f>
        <v>14</v>
      </c>
      <c r="Q47" s="23" t="n">
        <f aca="false">IF(Offer_3!Q106&gt;Current_Comp!Q106,Q$27-Offer_3!$B$6+1,9999)</f>
        <v>9999</v>
      </c>
    </row>
    <row r="49" customFormat="false" ht="15" hidden="false" customHeight="false" outlineLevel="0" collapsed="false">
      <c r="A49" s="3" t="s">
        <v>167</v>
      </c>
    </row>
    <row r="50" customFormat="false" ht="15" hidden="false" customHeight="false" outlineLevel="0" collapsed="false">
      <c r="B50" s="5" t="str">
        <f aca="false">Offer_1!$B$4</f>
        <v>Company A</v>
      </c>
      <c r="C50" s="28" t="n">
        <f aca="false">IF(MIN(C45:Q45)=9999,"Never within horizon",MIN(C45:Q45))</f>
        <v>2</v>
      </c>
    </row>
    <row r="51" customFormat="false" ht="15" hidden="false" customHeight="false" outlineLevel="0" collapsed="false">
      <c r="B51" s="5" t="str">
        <f aca="false">Offer_2!$B$4</f>
        <v>Company B</v>
      </c>
      <c r="C51" s="28" t="n">
        <f aca="false">IF(MIN(C46:Q46)=9999,"Never within horizon",MIN(C46:Q46))</f>
        <v>3</v>
      </c>
    </row>
    <row r="52" customFormat="false" ht="15" hidden="false" customHeight="false" outlineLevel="0" collapsed="false">
      <c r="B52" s="5" t="str">
        <f aca="false">Offer_3!$B$4</f>
        <v>Company C</v>
      </c>
      <c r="C52" s="28" t="n">
        <f aca="false">IF(MIN(C47:Q47)=9999,"Never within horizon",MIN(C47:Q47))</f>
        <v>5</v>
      </c>
    </row>
    <row r="54" customFormat="false" ht="15" hidden="false" customHeight="false" outlineLevel="0" collapsed="false">
      <c r="A54" s="6" t="s">
        <v>168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12" min="2" style="0" width="14"/>
    <col collapsed="false" customWidth="true" hidden="false" outlineLevel="0" max="21" min="19" style="0" width="15"/>
  </cols>
  <sheetData>
    <row r="1" customFormat="false" ht="17.35" hidden="false" customHeight="false" outlineLevel="0" collapsed="false">
      <c r="A1" s="1" t="s">
        <v>169</v>
      </c>
    </row>
    <row r="2" customFormat="false" ht="15" hidden="false" customHeight="false" outlineLevel="0" collapsed="false">
      <c r="A2" s="6" t="s">
        <v>170</v>
      </c>
    </row>
    <row r="3" customFormat="false" ht="15" hidden="false" customHeight="false" outlineLevel="0" collapsed="false">
      <c r="A3" s="6" t="s">
        <v>171</v>
      </c>
    </row>
    <row r="5" customFormat="false" ht="15" hidden="false" customHeight="false" outlineLevel="0" collapsed="false">
      <c r="A5" s="3" t="s">
        <v>172</v>
      </c>
    </row>
    <row r="6" customFormat="false" ht="15" hidden="false" customHeight="false" outlineLevel="0" collapsed="false">
      <c r="A6" s="2" t="s">
        <v>173</v>
      </c>
      <c r="B6" s="14" t="n">
        <v>150000</v>
      </c>
    </row>
    <row r="7" customFormat="false" ht="15" hidden="false" customHeight="false" outlineLevel="0" collapsed="false">
      <c r="A7" s="2" t="s">
        <v>91</v>
      </c>
      <c r="B7" s="11" t="n">
        <v>0.03</v>
      </c>
    </row>
    <row r="8" customFormat="false" ht="15" hidden="false" customHeight="false" outlineLevel="0" collapsed="false">
      <c r="A8" s="2" t="s">
        <v>174</v>
      </c>
      <c r="B8" s="16" t="n">
        <v>150</v>
      </c>
    </row>
    <row r="9" customFormat="false" ht="15" hidden="false" customHeight="false" outlineLevel="0" collapsed="false">
      <c r="A9" s="2" t="s">
        <v>175</v>
      </c>
      <c r="B9" s="13" t="n">
        <v>2021</v>
      </c>
    </row>
    <row r="10" customFormat="false" ht="15" hidden="false" customHeight="false" outlineLevel="0" collapsed="false">
      <c r="A10" s="2" t="s">
        <v>176</v>
      </c>
    </row>
    <row r="12" customFormat="false" ht="15" hidden="false" customHeight="false" outlineLevel="0" collapsed="false">
      <c r="A12" s="3" t="s">
        <v>101</v>
      </c>
      <c r="C12" s="17" t="n">
        <v>1</v>
      </c>
      <c r="D12" s="17" t="n">
        <v>2</v>
      </c>
      <c r="E12" s="17" t="n">
        <v>3</v>
      </c>
      <c r="F12" s="17" t="n">
        <v>4</v>
      </c>
      <c r="G12" s="17" t="n">
        <v>5</v>
      </c>
      <c r="H12" s="17" t="n">
        <v>6</v>
      </c>
      <c r="I12" s="17" t="n">
        <v>7</v>
      </c>
      <c r="J12" s="17" t="n">
        <v>8</v>
      </c>
      <c r="K12" s="17" t="n">
        <v>9</v>
      </c>
      <c r="L12" s="17" t="n">
        <v>10</v>
      </c>
    </row>
    <row r="13" customFormat="false" ht="15" hidden="false" customHeight="false" outlineLevel="0" collapsed="false">
      <c r="A13" s="3" t="s">
        <v>102</v>
      </c>
      <c r="C13" s="17" t="n">
        <f aca="false">$B$9</f>
        <v>2021</v>
      </c>
      <c r="D13" s="17" t="n">
        <f aca="false">C13+1</f>
        <v>2022</v>
      </c>
      <c r="E13" s="17" t="n">
        <f aca="false">D13+1</f>
        <v>2023</v>
      </c>
      <c r="F13" s="17" t="n">
        <f aca="false">E13+1</f>
        <v>2024</v>
      </c>
      <c r="G13" s="17" t="n">
        <f aca="false">F13+1</f>
        <v>2025</v>
      </c>
      <c r="H13" s="17" t="n">
        <f aca="false">G13+1</f>
        <v>2026</v>
      </c>
      <c r="I13" s="17" t="n">
        <f aca="false">H13+1</f>
        <v>2027</v>
      </c>
      <c r="J13" s="17" t="n">
        <f aca="false">I13+1</f>
        <v>2028</v>
      </c>
      <c r="K13" s="17" t="n">
        <f aca="false">J13+1</f>
        <v>2029</v>
      </c>
      <c r="L13" s="17" t="n">
        <f aca="false">K13+1</f>
        <v>2030</v>
      </c>
    </row>
    <row r="15" customFormat="false" ht="15" hidden="false" customHeight="false" outlineLevel="0" collapsed="false">
      <c r="A15" s="3" t="s">
        <v>177</v>
      </c>
      <c r="S15" s="7" t="s">
        <v>109</v>
      </c>
      <c r="T15" s="7" t="s">
        <v>110</v>
      </c>
      <c r="U15" s="7" t="s">
        <v>178</v>
      </c>
    </row>
    <row r="16" customFormat="false" ht="15" hidden="false" customHeight="false" outlineLevel="0" collapsed="false">
      <c r="A16" s="2" t="s">
        <v>114</v>
      </c>
      <c r="C16" s="22" t="n">
        <f aca="false">IF(AND(C$13-$S16&gt;=1,C$13-$S16&lt;=4),0.25,0)*$U16*$B$8</f>
        <v>0</v>
      </c>
      <c r="D16" s="22" t="n">
        <f aca="false">IF(AND(D$13-$S16&gt;=1,D$13-$S16&lt;=4),0.25,0)*$U16*$B$8</f>
        <v>37500</v>
      </c>
      <c r="E16" s="22" t="n">
        <f aca="false">IF(AND(E$13-$S16&gt;=1,E$13-$S16&lt;=4),0.25,0)*$U16*$B$8</f>
        <v>37500</v>
      </c>
      <c r="F16" s="22" t="n">
        <f aca="false">IF(AND(F$13-$S16&gt;=1,F$13-$S16&lt;=4),0.25,0)*$U16*$B$8</f>
        <v>37500</v>
      </c>
      <c r="G16" s="22" t="n">
        <f aca="false">IF(AND(G$13-$S16&gt;=1,G$13-$S16&lt;=4),0.25,0)*$U16*$B$8</f>
        <v>37500</v>
      </c>
      <c r="H16" s="22" t="n">
        <f aca="false">IF(AND(H$13-$S16&gt;=1,H$13-$S16&lt;=4),0.25,0)*$U16*$B$8</f>
        <v>0</v>
      </c>
      <c r="I16" s="22" t="n">
        <f aca="false">IF(AND(I$13-$S16&gt;=1,I$13-$S16&lt;=4),0.25,0)*$U16*$B$8</f>
        <v>0</v>
      </c>
      <c r="J16" s="22" t="n">
        <f aca="false">IF(AND(J$13-$S16&gt;=1,J$13-$S16&lt;=4),0.25,0)*$U16*$B$8</f>
        <v>0</v>
      </c>
      <c r="K16" s="22" t="n">
        <f aca="false">IF(AND(K$13-$S16&gt;=1,K$13-$S16&lt;=4),0.25,0)*$U16*$B$8</f>
        <v>0</v>
      </c>
      <c r="L16" s="22" t="n">
        <f aca="false">IF(AND(L$13-$S16&gt;=1,L$13-$S16&lt;=4),0.25,0)*$U16*$B$8</f>
        <v>0</v>
      </c>
      <c r="S16" s="23" t="n">
        <f aca="false">$B$9+0</f>
        <v>2021</v>
      </c>
      <c r="T16" s="22" t="n">
        <f aca="false">$B$6*(1+$B$7)^0</f>
        <v>150000</v>
      </c>
      <c r="U16" s="24" t="n">
        <f aca="false">$T16/$B$8</f>
        <v>1000</v>
      </c>
    </row>
    <row r="17" customFormat="false" ht="15" hidden="false" customHeight="false" outlineLevel="0" collapsed="false">
      <c r="A17" s="2" t="s">
        <v>115</v>
      </c>
      <c r="C17" s="22" t="n">
        <f aca="false">IF(AND(C$13-$S17&gt;=1,C$13-$S17&lt;=4),0.25,0)*$U17*$B$8</f>
        <v>0</v>
      </c>
      <c r="D17" s="22" t="n">
        <f aca="false">IF(AND(D$13-$S17&gt;=1,D$13-$S17&lt;=4),0.25,0)*$U17*$B$8</f>
        <v>0</v>
      </c>
      <c r="E17" s="22" t="n">
        <f aca="false">IF(AND(E$13-$S17&gt;=1,E$13-$S17&lt;=4),0.25,0)*$U17*$B$8</f>
        <v>38625</v>
      </c>
      <c r="F17" s="22" t="n">
        <f aca="false">IF(AND(F$13-$S17&gt;=1,F$13-$S17&lt;=4),0.25,0)*$U17*$B$8</f>
        <v>38625</v>
      </c>
      <c r="G17" s="22" t="n">
        <f aca="false">IF(AND(G$13-$S17&gt;=1,G$13-$S17&lt;=4),0.25,0)*$U17*$B$8</f>
        <v>38625</v>
      </c>
      <c r="H17" s="22" t="n">
        <f aca="false">IF(AND(H$13-$S17&gt;=1,H$13-$S17&lt;=4),0.25,0)*$U17*$B$8</f>
        <v>38625</v>
      </c>
      <c r="I17" s="22" t="n">
        <f aca="false">IF(AND(I$13-$S17&gt;=1,I$13-$S17&lt;=4),0.25,0)*$U17*$B$8</f>
        <v>0</v>
      </c>
      <c r="J17" s="22" t="n">
        <f aca="false">IF(AND(J$13-$S17&gt;=1,J$13-$S17&lt;=4),0.25,0)*$U17*$B$8</f>
        <v>0</v>
      </c>
      <c r="K17" s="22" t="n">
        <f aca="false">IF(AND(K$13-$S17&gt;=1,K$13-$S17&lt;=4),0.25,0)*$U17*$B$8</f>
        <v>0</v>
      </c>
      <c r="L17" s="22" t="n">
        <f aca="false">IF(AND(L$13-$S17&gt;=1,L$13-$S17&lt;=4),0.25,0)*$U17*$B$8</f>
        <v>0</v>
      </c>
      <c r="S17" s="23" t="n">
        <f aca="false">$B$9+1</f>
        <v>2022</v>
      </c>
      <c r="T17" s="22" t="n">
        <f aca="false">$B$6*(1+$B$7)^1</f>
        <v>154500</v>
      </c>
      <c r="U17" s="24" t="n">
        <f aca="false">$T17/$B$8</f>
        <v>1030</v>
      </c>
    </row>
    <row r="18" customFormat="false" ht="15" hidden="false" customHeight="false" outlineLevel="0" collapsed="false">
      <c r="A18" s="2" t="s">
        <v>116</v>
      </c>
      <c r="C18" s="22" t="n">
        <f aca="false">IF(AND(C$13-$S18&gt;=1,C$13-$S18&lt;=4),0.25,0)*$U18*$B$8</f>
        <v>0</v>
      </c>
      <c r="D18" s="22" t="n">
        <f aca="false">IF(AND(D$13-$S18&gt;=1,D$13-$S18&lt;=4),0.25,0)*$U18*$B$8</f>
        <v>0</v>
      </c>
      <c r="E18" s="22" t="n">
        <f aca="false">IF(AND(E$13-$S18&gt;=1,E$13-$S18&lt;=4),0.25,0)*$U18*$B$8</f>
        <v>0</v>
      </c>
      <c r="F18" s="22" t="n">
        <f aca="false">IF(AND(F$13-$S18&gt;=1,F$13-$S18&lt;=4),0.25,0)*$U18*$B$8</f>
        <v>39783.75</v>
      </c>
      <c r="G18" s="22" t="n">
        <f aca="false">IF(AND(G$13-$S18&gt;=1,G$13-$S18&lt;=4),0.25,0)*$U18*$B$8</f>
        <v>39783.75</v>
      </c>
      <c r="H18" s="22" t="n">
        <f aca="false">IF(AND(H$13-$S18&gt;=1,H$13-$S18&lt;=4),0.25,0)*$U18*$B$8</f>
        <v>39783.75</v>
      </c>
      <c r="I18" s="22" t="n">
        <f aca="false">IF(AND(I$13-$S18&gt;=1,I$13-$S18&lt;=4),0.25,0)*$U18*$B$8</f>
        <v>39783.75</v>
      </c>
      <c r="J18" s="22" t="n">
        <f aca="false">IF(AND(J$13-$S18&gt;=1,J$13-$S18&lt;=4),0.25,0)*$U18*$B$8</f>
        <v>0</v>
      </c>
      <c r="K18" s="22" t="n">
        <f aca="false">IF(AND(K$13-$S18&gt;=1,K$13-$S18&lt;=4),0.25,0)*$U18*$B$8</f>
        <v>0</v>
      </c>
      <c r="L18" s="22" t="n">
        <f aca="false">IF(AND(L$13-$S18&gt;=1,L$13-$S18&lt;=4),0.25,0)*$U18*$B$8</f>
        <v>0</v>
      </c>
      <c r="S18" s="23" t="n">
        <f aca="false">$B$9+2</f>
        <v>2023</v>
      </c>
      <c r="T18" s="22" t="n">
        <f aca="false">$B$6*(1+$B$7)^2</f>
        <v>159135</v>
      </c>
      <c r="U18" s="24" t="n">
        <f aca="false">$T18/$B$8</f>
        <v>1060.9</v>
      </c>
    </row>
    <row r="19" customFormat="false" ht="15" hidden="false" customHeight="false" outlineLevel="0" collapsed="false">
      <c r="A19" s="2" t="s">
        <v>117</v>
      </c>
      <c r="C19" s="22" t="n">
        <f aca="false">IF(AND(C$13-$S19&gt;=1,C$13-$S19&lt;=4),0.25,0)*$U19*$B$8</f>
        <v>0</v>
      </c>
      <c r="D19" s="22" t="n">
        <f aca="false">IF(AND(D$13-$S19&gt;=1,D$13-$S19&lt;=4),0.25,0)*$U19*$B$8</f>
        <v>0</v>
      </c>
      <c r="E19" s="22" t="n">
        <f aca="false">IF(AND(E$13-$S19&gt;=1,E$13-$S19&lt;=4),0.25,0)*$U19*$B$8</f>
        <v>0</v>
      </c>
      <c r="F19" s="22" t="n">
        <f aca="false">IF(AND(F$13-$S19&gt;=1,F$13-$S19&lt;=4),0.25,0)*$U19*$B$8</f>
        <v>0</v>
      </c>
      <c r="G19" s="22" t="n">
        <f aca="false">IF(AND(G$13-$S19&gt;=1,G$13-$S19&lt;=4),0.25,0)*$U19*$B$8</f>
        <v>40977.2625</v>
      </c>
      <c r="H19" s="22" t="n">
        <f aca="false">IF(AND(H$13-$S19&gt;=1,H$13-$S19&lt;=4),0.25,0)*$U19*$B$8</f>
        <v>40977.2625</v>
      </c>
      <c r="I19" s="22" t="n">
        <f aca="false">IF(AND(I$13-$S19&gt;=1,I$13-$S19&lt;=4),0.25,0)*$U19*$B$8</f>
        <v>40977.2625</v>
      </c>
      <c r="J19" s="22" t="n">
        <f aca="false">IF(AND(J$13-$S19&gt;=1,J$13-$S19&lt;=4),0.25,0)*$U19*$B$8</f>
        <v>40977.2625</v>
      </c>
      <c r="K19" s="22" t="n">
        <f aca="false">IF(AND(K$13-$S19&gt;=1,K$13-$S19&lt;=4),0.25,0)*$U19*$B$8</f>
        <v>0</v>
      </c>
      <c r="L19" s="22" t="n">
        <f aca="false">IF(AND(L$13-$S19&gt;=1,L$13-$S19&lt;=4),0.25,0)*$U19*$B$8</f>
        <v>0</v>
      </c>
      <c r="S19" s="23" t="n">
        <f aca="false">$B$9+3</f>
        <v>2024</v>
      </c>
      <c r="T19" s="22" t="n">
        <f aca="false">$B$6*(1+$B$7)^3</f>
        <v>163909.05</v>
      </c>
      <c r="U19" s="24" t="n">
        <f aca="false">$T19/$B$8</f>
        <v>1092.727</v>
      </c>
    </row>
    <row r="20" customFormat="false" ht="15" hidden="false" customHeight="false" outlineLevel="0" collapsed="false">
      <c r="A20" s="2" t="s">
        <v>118</v>
      </c>
      <c r="C20" s="22" t="n">
        <f aca="false">IF(AND(C$13-$S20&gt;=1,C$13-$S20&lt;=4),0.25,0)*$U20*$B$8</f>
        <v>0</v>
      </c>
      <c r="D20" s="22" t="n">
        <f aca="false">IF(AND(D$13-$S20&gt;=1,D$13-$S20&lt;=4),0.25,0)*$U20*$B$8</f>
        <v>0</v>
      </c>
      <c r="E20" s="22" t="n">
        <f aca="false">IF(AND(E$13-$S20&gt;=1,E$13-$S20&lt;=4),0.25,0)*$U20*$B$8</f>
        <v>0</v>
      </c>
      <c r="F20" s="22" t="n">
        <f aca="false">IF(AND(F$13-$S20&gt;=1,F$13-$S20&lt;=4),0.25,0)*$U20*$B$8</f>
        <v>0</v>
      </c>
      <c r="G20" s="22" t="n">
        <f aca="false">IF(AND(G$13-$S20&gt;=1,G$13-$S20&lt;=4),0.25,0)*$U20*$B$8</f>
        <v>0</v>
      </c>
      <c r="H20" s="22" t="n">
        <f aca="false">IF(AND(H$13-$S20&gt;=1,H$13-$S20&lt;=4),0.25,0)*$U20*$B$8</f>
        <v>42206.580375</v>
      </c>
      <c r="I20" s="22" t="n">
        <f aca="false">IF(AND(I$13-$S20&gt;=1,I$13-$S20&lt;=4),0.25,0)*$U20*$B$8</f>
        <v>42206.580375</v>
      </c>
      <c r="J20" s="22" t="n">
        <f aca="false">IF(AND(J$13-$S20&gt;=1,J$13-$S20&lt;=4),0.25,0)*$U20*$B$8</f>
        <v>42206.580375</v>
      </c>
      <c r="K20" s="22" t="n">
        <f aca="false">IF(AND(K$13-$S20&gt;=1,K$13-$S20&lt;=4),0.25,0)*$U20*$B$8</f>
        <v>42206.580375</v>
      </c>
      <c r="L20" s="22" t="n">
        <f aca="false">IF(AND(L$13-$S20&gt;=1,L$13-$S20&lt;=4),0.25,0)*$U20*$B$8</f>
        <v>0</v>
      </c>
      <c r="S20" s="23" t="n">
        <f aca="false">$B$9+4</f>
        <v>2025</v>
      </c>
      <c r="T20" s="22" t="n">
        <f aca="false">$B$6*(1+$B$7)^4</f>
        <v>168826.3215</v>
      </c>
      <c r="U20" s="24" t="n">
        <f aca="false">$T20/$B$8</f>
        <v>1125.50881</v>
      </c>
    </row>
    <row r="21" customFormat="false" ht="15" hidden="false" customHeight="false" outlineLevel="0" collapsed="false">
      <c r="A21" s="2" t="s">
        <v>119</v>
      </c>
      <c r="C21" s="22" t="n">
        <f aca="false">IF(AND(C$13-$S21&gt;=1,C$13-$S21&lt;=4),0.25,0)*$U21*$B$8</f>
        <v>0</v>
      </c>
      <c r="D21" s="22" t="n">
        <f aca="false">IF(AND(D$13-$S21&gt;=1,D$13-$S21&lt;=4),0.25,0)*$U21*$B$8</f>
        <v>0</v>
      </c>
      <c r="E21" s="22" t="n">
        <f aca="false">IF(AND(E$13-$S21&gt;=1,E$13-$S21&lt;=4),0.25,0)*$U21*$B$8</f>
        <v>0</v>
      </c>
      <c r="F21" s="22" t="n">
        <f aca="false">IF(AND(F$13-$S21&gt;=1,F$13-$S21&lt;=4),0.25,0)*$U21*$B$8</f>
        <v>0</v>
      </c>
      <c r="G21" s="22" t="n">
        <f aca="false">IF(AND(G$13-$S21&gt;=1,G$13-$S21&lt;=4),0.25,0)*$U21*$B$8</f>
        <v>0</v>
      </c>
      <c r="H21" s="22" t="n">
        <f aca="false">IF(AND(H$13-$S21&gt;=1,H$13-$S21&lt;=4),0.25,0)*$U21*$B$8</f>
        <v>0</v>
      </c>
      <c r="I21" s="22" t="n">
        <f aca="false">IF(AND(I$13-$S21&gt;=1,I$13-$S21&lt;=4),0.25,0)*$U21*$B$8</f>
        <v>43472.77778625</v>
      </c>
      <c r="J21" s="22" t="n">
        <f aca="false">IF(AND(J$13-$S21&gt;=1,J$13-$S21&lt;=4),0.25,0)*$U21*$B$8</f>
        <v>43472.77778625</v>
      </c>
      <c r="K21" s="22" t="n">
        <f aca="false">IF(AND(K$13-$S21&gt;=1,K$13-$S21&lt;=4),0.25,0)*$U21*$B$8</f>
        <v>43472.77778625</v>
      </c>
      <c r="L21" s="22" t="n">
        <f aca="false">IF(AND(L$13-$S21&gt;=1,L$13-$S21&lt;=4),0.25,0)*$U21*$B$8</f>
        <v>43472.77778625</v>
      </c>
      <c r="S21" s="23" t="n">
        <f aca="false">$B$9+5</f>
        <v>2026</v>
      </c>
      <c r="T21" s="22" t="n">
        <f aca="false">$B$6*(1+$B$7)^5</f>
        <v>173891.111145</v>
      </c>
      <c r="U21" s="24" t="n">
        <f aca="false">$T21/$B$8</f>
        <v>1159.2740743</v>
      </c>
    </row>
    <row r="22" customFormat="false" ht="15" hidden="false" customHeight="false" outlineLevel="0" collapsed="false">
      <c r="A22" s="2" t="s">
        <v>120</v>
      </c>
      <c r="C22" s="22" t="n">
        <f aca="false">IF(AND(C$13-$S22&gt;=1,C$13-$S22&lt;=4),0.25,0)*$U22*$B$8</f>
        <v>0</v>
      </c>
      <c r="D22" s="22" t="n">
        <f aca="false">IF(AND(D$13-$S22&gt;=1,D$13-$S22&lt;=4),0.25,0)*$U22*$B$8</f>
        <v>0</v>
      </c>
      <c r="E22" s="22" t="n">
        <f aca="false">IF(AND(E$13-$S22&gt;=1,E$13-$S22&lt;=4),0.25,0)*$U22*$B$8</f>
        <v>0</v>
      </c>
      <c r="F22" s="22" t="n">
        <f aca="false">IF(AND(F$13-$S22&gt;=1,F$13-$S22&lt;=4),0.25,0)*$U22*$B$8</f>
        <v>0</v>
      </c>
      <c r="G22" s="22" t="n">
        <f aca="false">IF(AND(G$13-$S22&gt;=1,G$13-$S22&lt;=4),0.25,0)*$U22*$B$8</f>
        <v>0</v>
      </c>
      <c r="H22" s="22" t="n">
        <f aca="false">IF(AND(H$13-$S22&gt;=1,H$13-$S22&lt;=4),0.25,0)*$U22*$B$8</f>
        <v>0</v>
      </c>
      <c r="I22" s="22" t="n">
        <f aca="false">IF(AND(I$13-$S22&gt;=1,I$13-$S22&lt;=4),0.25,0)*$U22*$B$8</f>
        <v>0</v>
      </c>
      <c r="J22" s="22" t="n">
        <f aca="false">IF(AND(J$13-$S22&gt;=1,J$13-$S22&lt;=4),0.25,0)*$U22*$B$8</f>
        <v>44776.9611198375</v>
      </c>
      <c r="K22" s="22" t="n">
        <f aca="false">IF(AND(K$13-$S22&gt;=1,K$13-$S22&lt;=4),0.25,0)*$U22*$B$8</f>
        <v>44776.9611198375</v>
      </c>
      <c r="L22" s="22" t="n">
        <f aca="false">IF(AND(L$13-$S22&gt;=1,L$13-$S22&lt;=4),0.25,0)*$U22*$B$8</f>
        <v>44776.9611198375</v>
      </c>
      <c r="S22" s="23" t="n">
        <f aca="false">$B$9+6</f>
        <v>2027</v>
      </c>
      <c r="T22" s="22" t="n">
        <f aca="false">$B$6*(1+$B$7)^6</f>
        <v>179107.84447935</v>
      </c>
      <c r="U22" s="24" t="n">
        <f aca="false">$T22/$B$8</f>
        <v>1194.052296529</v>
      </c>
    </row>
    <row r="23" customFormat="false" ht="15" hidden="false" customHeight="false" outlineLevel="0" collapsed="false">
      <c r="A23" s="2" t="s">
        <v>121</v>
      </c>
      <c r="C23" s="22" t="n">
        <f aca="false">IF(AND(C$13-$S23&gt;=1,C$13-$S23&lt;=4),0.25,0)*$U23*$B$8</f>
        <v>0</v>
      </c>
      <c r="D23" s="22" t="n">
        <f aca="false">IF(AND(D$13-$S23&gt;=1,D$13-$S23&lt;=4),0.25,0)*$U23*$B$8</f>
        <v>0</v>
      </c>
      <c r="E23" s="22" t="n">
        <f aca="false">IF(AND(E$13-$S23&gt;=1,E$13-$S23&lt;=4),0.25,0)*$U23*$B$8</f>
        <v>0</v>
      </c>
      <c r="F23" s="22" t="n">
        <f aca="false">IF(AND(F$13-$S23&gt;=1,F$13-$S23&lt;=4),0.25,0)*$U23*$B$8</f>
        <v>0</v>
      </c>
      <c r="G23" s="22" t="n">
        <f aca="false">IF(AND(G$13-$S23&gt;=1,G$13-$S23&lt;=4),0.25,0)*$U23*$B$8</f>
        <v>0</v>
      </c>
      <c r="H23" s="22" t="n">
        <f aca="false">IF(AND(H$13-$S23&gt;=1,H$13-$S23&lt;=4),0.25,0)*$U23*$B$8</f>
        <v>0</v>
      </c>
      <c r="I23" s="22" t="n">
        <f aca="false">IF(AND(I$13-$S23&gt;=1,I$13-$S23&lt;=4),0.25,0)*$U23*$B$8</f>
        <v>0</v>
      </c>
      <c r="J23" s="22" t="n">
        <f aca="false">IF(AND(J$13-$S23&gt;=1,J$13-$S23&lt;=4),0.25,0)*$U23*$B$8</f>
        <v>0</v>
      </c>
      <c r="K23" s="22" t="n">
        <f aca="false">IF(AND(K$13-$S23&gt;=1,K$13-$S23&lt;=4),0.25,0)*$U23*$B$8</f>
        <v>46120.2699534326</v>
      </c>
      <c r="L23" s="22" t="n">
        <f aca="false">IF(AND(L$13-$S23&gt;=1,L$13-$S23&lt;=4),0.25,0)*$U23*$B$8</f>
        <v>46120.2699534326</v>
      </c>
      <c r="S23" s="23" t="n">
        <f aca="false">$B$9+7</f>
        <v>2028</v>
      </c>
      <c r="T23" s="22" t="n">
        <f aca="false">$B$6*(1+$B$7)^7</f>
        <v>184481.079813731</v>
      </c>
      <c r="U23" s="24" t="n">
        <f aca="false">$T23/$B$8</f>
        <v>1229.87386542487</v>
      </c>
    </row>
    <row r="24" customFormat="false" ht="15" hidden="false" customHeight="false" outlineLevel="0" collapsed="false">
      <c r="A24" s="2" t="s">
        <v>122</v>
      </c>
      <c r="C24" s="22" t="n">
        <f aca="false">IF(AND(C$13-$S24&gt;=1,C$13-$S24&lt;=4),0.25,0)*$U24*$B$8</f>
        <v>0</v>
      </c>
      <c r="D24" s="22" t="n">
        <f aca="false">IF(AND(D$13-$S24&gt;=1,D$13-$S24&lt;=4),0.25,0)*$U24*$B$8</f>
        <v>0</v>
      </c>
      <c r="E24" s="22" t="n">
        <f aca="false">IF(AND(E$13-$S24&gt;=1,E$13-$S24&lt;=4),0.25,0)*$U24*$B$8</f>
        <v>0</v>
      </c>
      <c r="F24" s="22" t="n">
        <f aca="false">IF(AND(F$13-$S24&gt;=1,F$13-$S24&lt;=4),0.25,0)*$U24*$B$8</f>
        <v>0</v>
      </c>
      <c r="G24" s="22" t="n">
        <f aca="false">IF(AND(G$13-$S24&gt;=1,G$13-$S24&lt;=4),0.25,0)*$U24*$B$8</f>
        <v>0</v>
      </c>
      <c r="H24" s="22" t="n">
        <f aca="false">IF(AND(H$13-$S24&gt;=1,H$13-$S24&lt;=4),0.25,0)*$U24*$B$8</f>
        <v>0</v>
      </c>
      <c r="I24" s="22" t="n">
        <f aca="false">IF(AND(I$13-$S24&gt;=1,I$13-$S24&lt;=4),0.25,0)*$U24*$B$8</f>
        <v>0</v>
      </c>
      <c r="J24" s="22" t="n">
        <f aca="false">IF(AND(J$13-$S24&gt;=1,J$13-$S24&lt;=4),0.25,0)*$U24*$B$8</f>
        <v>0</v>
      </c>
      <c r="K24" s="22" t="n">
        <f aca="false">IF(AND(K$13-$S24&gt;=1,K$13-$S24&lt;=4),0.25,0)*$U24*$B$8</f>
        <v>0</v>
      </c>
      <c r="L24" s="22" t="n">
        <f aca="false">IF(AND(L$13-$S24&gt;=1,L$13-$S24&lt;=4),0.25,0)*$U24*$B$8</f>
        <v>47503.8780520356</v>
      </c>
      <c r="S24" s="23" t="n">
        <f aca="false">$B$9+8</f>
        <v>2029</v>
      </c>
      <c r="T24" s="22" t="n">
        <f aca="false">$B$6*(1+$B$7)^8</f>
        <v>190015.512208142</v>
      </c>
      <c r="U24" s="24" t="n">
        <f aca="false">$T24/$B$8</f>
        <v>1266.77008138762</v>
      </c>
    </row>
    <row r="25" customFormat="false" ht="15" hidden="false" customHeight="false" outlineLevel="0" collapsed="false">
      <c r="A25" s="2" t="s">
        <v>123</v>
      </c>
      <c r="C25" s="22" t="n">
        <f aca="false">IF(AND(C$13-$S25&gt;=1,C$13-$S25&lt;=4),0.25,0)*$U25*$B$8</f>
        <v>0</v>
      </c>
      <c r="D25" s="22" t="n">
        <f aca="false">IF(AND(D$13-$S25&gt;=1,D$13-$S25&lt;=4),0.25,0)*$U25*$B$8</f>
        <v>0</v>
      </c>
      <c r="E25" s="22" t="n">
        <f aca="false">IF(AND(E$13-$S25&gt;=1,E$13-$S25&lt;=4),0.25,0)*$U25*$B$8</f>
        <v>0</v>
      </c>
      <c r="F25" s="22" t="n">
        <f aca="false">IF(AND(F$13-$S25&gt;=1,F$13-$S25&lt;=4),0.25,0)*$U25*$B$8</f>
        <v>0</v>
      </c>
      <c r="G25" s="22" t="n">
        <f aca="false">IF(AND(G$13-$S25&gt;=1,G$13-$S25&lt;=4),0.25,0)*$U25*$B$8</f>
        <v>0</v>
      </c>
      <c r="H25" s="22" t="n">
        <f aca="false">IF(AND(H$13-$S25&gt;=1,H$13-$S25&lt;=4),0.25,0)*$U25*$B$8</f>
        <v>0</v>
      </c>
      <c r="I25" s="22" t="n">
        <f aca="false">IF(AND(I$13-$S25&gt;=1,I$13-$S25&lt;=4),0.25,0)*$U25*$B$8</f>
        <v>0</v>
      </c>
      <c r="J25" s="22" t="n">
        <f aca="false">IF(AND(J$13-$S25&gt;=1,J$13-$S25&lt;=4),0.25,0)*$U25*$B$8</f>
        <v>0</v>
      </c>
      <c r="K25" s="22" t="n">
        <f aca="false">IF(AND(K$13-$S25&gt;=1,K$13-$S25&lt;=4),0.25,0)*$U25*$B$8</f>
        <v>0</v>
      </c>
      <c r="L25" s="22" t="n">
        <f aca="false">IF(AND(L$13-$S25&gt;=1,L$13-$S25&lt;=4),0.25,0)*$U25*$B$8</f>
        <v>0</v>
      </c>
      <c r="S25" s="23" t="n">
        <f aca="false">$B$9+9</f>
        <v>2030</v>
      </c>
      <c r="T25" s="22" t="n">
        <f aca="false">$B$6*(1+$B$7)^9</f>
        <v>195715.977574387</v>
      </c>
      <c r="U25" s="24" t="n">
        <f aca="false">$T25/$B$8</f>
        <v>1304.77318382924</v>
      </c>
    </row>
    <row r="27" customFormat="false" ht="15" hidden="false" customHeight="false" outlineLevel="0" collapsed="false">
      <c r="A27" s="3" t="s">
        <v>179</v>
      </c>
      <c r="C27" s="29" t="n">
        <f aca="false">SUM(C16:C25)</f>
        <v>0</v>
      </c>
      <c r="D27" s="29" t="n">
        <f aca="false">SUM(D16:D25)</f>
        <v>37500</v>
      </c>
      <c r="E27" s="29" t="n">
        <f aca="false">SUM(E16:E25)</f>
        <v>76125</v>
      </c>
      <c r="F27" s="29" t="n">
        <f aca="false">SUM(F16:F25)</f>
        <v>115908.75</v>
      </c>
      <c r="G27" s="29" t="n">
        <f aca="false">SUM(G16:G25)</f>
        <v>156886.0125</v>
      </c>
      <c r="H27" s="29" t="n">
        <f aca="false">SUM(H16:H25)</f>
        <v>161592.592875</v>
      </c>
      <c r="I27" s="29" t="n">
        <f aca="false">SUM(I16:I25)</f>
        <v>166440.37066125</v>
      </c>
      <c r="J27" s="29" t="n">
        <f aca="false">SUM(J16:J25)</f>
        <v>171433.581781088</v>
      </c>
      <c r="K27" s="29" t="n">
        <f aca="false">SUM(K16:K25)</f>
        <v>176576.58923452</v>
      </c>
      <c r="L27" s="29" t="n">
        <f aca="false">SUM(L16:L25)</f>
        <v>181873.886911556</v>
      </c>
    </row>
    <row r="28" customFormat="false" ht="15" hidden="false" customHeight="false" outlineLevel="0" collapsed="false">
      <c r="A28" s="3" t="s">
        <v>180</v>
      </c>
      <c r="C28" s="30" t="n">
        <v>0</v>
      </c>
      <c r="D28" s="30" t="n">
        <v>37500</v>
      </c>
      <c r="E28" s="30" t="n">
        <v>76125</v>
      </c>
      <c r="F28" s="30" t="n">
        <v>115908.75</v>
      </c>
      <c r="G28" s="30" t="n">
        <v>156886.01</v>
      </c>
      <c r="H28" s="30" t="n">
        <v>161592.59</v>
      </c>
      <c r="I28" s="30" t="n">
        <v>166440.37</v>
      </c>
      <c r="J28" s="30" t="n">
        <v>171433.58</v>
      </c>
      <c r="K28" s="30" t="n">
        <v>176576.59</v>
      </c>
      <c r="L28" s="30" t="n">
        <v>181873.89</v>
      </c>
    </row>
    <row r="29" customFormat="false" ht="15" hidden="false" customHeight="false" outlineLevel="0" collapsed="false">
      <c r="A29" s="2" t="s">
        <v>181</v>
      </c>
      <c r="C29" s="21" t="n">
        <f aca="false">C27-C28</f>
        <v>0</v>
      </c>
      <c r="D29" s="21" t="n">
        <f aca="false">D27-D28</f>
        <v>0</v>
      </c>
      <c r="E29" s="21" t="n">
        <f aca="false">E27-E28</f>
        <v>0</v>
      </c>
      <c r="F29" s="21" t="n">
        <f aca="false">F27-F28</f>
        <v>0</v>
      </c>
      <c r="G29" s="21" t="n">
        <f aca="false">G27-G28</f>
        <v>0.00250000000232831</v>
      </c>
      <c r="H29" s="21" t="n">
        <f aca="false">H27-H28</f>
        <v>0.00287500000558794</v>
      </c>
      <c r="I29" s="21" t="n">
        <f aca="false">I27-I28</f>
        <v>0.000661250000121072</v>
      </c>
      <c r="J29" s="21" t="n">
        <f aca="false">J27-J28</f>
        <v>0.00178108751424588</v>
      </c>
      <c r="K29" s="21" t="n">
        <f aca="false">K27-K28</f>
        <v>-0.000765479839174077</v>
      </c>
      <c r="L29" s="21" t="n">
        <f aca="false">L27-L28</f>
        <v>-0.00308844423852861</v>
      </c>
    </row>
    <row r="30" customFormat="false" ht="15" hidden="false" customHeight="false" outlineLevel="0" collapsed="false">
      <c r="A30" s="3" t="s">
        <v>182</v>
      </c>
      <c r="C30" s="7" t="str">
        <f aca="false">IF(ABS(C29)&lt;0.02,"TIE","MISMATCH")</f>
        <v>TIE</v>
      </c>
      <c r="D30" s="7" t="str">
        <f aca="false">IF(ABS(D29)&lt;0.02,"TIE","MISMATCH")</f>
        <v>TIE</v>
      </c>
      <c r="E30" s="7" t="str">
        <f aca="false">IF(ABS(E29)&lt;0.02,"TIE","MISMATCH")</f>
        <v>TIE</v>
      </c>
      <c r="F30" s="7" t="str">
        <f aca="false">IF(ABS(F29)&lt;0.02,"TIE","MISMATCH")</f>
        <v>TIE</v>
      </c>
      <c r="G30" s="7" t="str">
        <f aca="false">IF(ABS(G29)&lt;0.02,"TIE","MISMATCH")</f>
        <v>TIE</v>
      </c>
      <c r="H30" s="7" t="str">
        <f aca="false">IF(ABS(H29)&lt;0.02,"TIE","MISMATCH")</f>
        <v>TIE</v>
      </c>
      <c r="I30" s="7" t="str">
        <f aca="false">IF(ABS(I29)&lt;0.02,"TIE","MISMATCH")</f>
        <v>TIE</v>
      </c>
      <c r="J30" s="7" t="str">
        <f aca="false">IF(ABS(J29)&lt;0.02,"TIE","MISMATCH")</f>
        <v>TIE</v>
      </c>
      <c r="K30" s="7" t="str">
        <f aca="false">IF(ABS(K29)&lt;0.02,"TIE","MISMATCH")</f>
        <v>TIE</v>
      </c>
      <c r="L30" s="7" t="str">
        <f aca="false">IF(ABS(L29)&lt;0.02,"TIE","MISMATCH")</f>
        <v>TIE</v>
      </c>
    </row>
    <row r="32" customFormat="false" ht="15" hidden="false" customHeight="false" outlineLevel="0" collapsed="false">
      <c r="A32" s="6" t="s">
        <v>183</v>
      </c>
    </row>
    <row r="33" customFormat="false" ht="15" hidden="false" customHeight="false" outlineLevel="0" collapsed="false">
      <c r="A33" s="6" t="s">
        <v>184</v>
      </c>
    </row>
    <row r="34" customFormat="false" ht="15" hidden="false" customHeight="false" outlineLevel="0" collapsed="false">
      <c r="A34" s="6" t="s">
        <v>185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2026-08-12T19:55:17Z</dcterms:created>
  <dc:creator>openpyxl</dc:creator>
  <dc:description/>
  <dc:language>en-US</dc:language>
  <cp:lastModifiedBy/>
  <dcterms:modified xsi:type="dcterms:W3CDTF">2026-08-12T19:55:17Z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